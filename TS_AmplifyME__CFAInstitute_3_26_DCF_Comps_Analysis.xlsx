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AmplifyME/"/>
    </mc:Choice>
  </mc:AlternateContent>
  <xr:revisionPtr revIDLastSave="4" documentId="8_{7ACF5671-2B96-40FB-A67E-2DBA6E010696}" xr6:coauthVersionLast="47" xr6:coauthVersionMax="47" xr10:uidLastSave="{240BF9B7-E8D7-4BC4-A351-EF852FF6A063}"/>
  <workbookProtection workbookAlgorithmName="SHA-512" workbookHashValue="CPeOhFaJkGQYeEyTS9LWQxvCTSanlYvHSh+lYZyZ8Ol6ITkzj5dihvQDt8E+bN1vX0J3JWug3qnmuDG366/DJg==" workbookSaltValue="7KmTdFnkGJrzOO+zp32YUQ==" workbookSpinCount="100000" lockStructure="1"/>
  <bookViews>
    <workbookView xWindow="-28920" yWindow="-120" windowWidth="29040" windowHeight="15840" activeTab="1" xr2:uid="{5F141CAC-DE77-4535-A101-6F03B64064EC}"/>
  </bookViews>
  <sheets>
    <sheet name="Introduction" sheetId="2" r:id="rId1"/>
    <sheet name="NVIDIA Inc" sheetId="1" r:id="rId2"/>
    <sheet name="Grading" sheetId="7" state="hidden" r:id="rId3"/>
    <sheet name="CONDFORM" sheetId="8" state="hidden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45207.8744097222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3" i="1" l="1"/>
  <c r="L203" i="1"/>
  <c r="M203" i="1"/>
  <c r="K204" i="1"/>
  <c r="L204" i="1"/>
  <c r="M204" i="1"/>
  <c r="J204" i="1"/>
  <c r="J203" i="1"/>
  <c r="Q255" i="1"/>
  <c r="P255" i="1"/>
  <c r="O255" i="1"/>
  <c r="N255" i="1"/>
  <c r="M255" i="1"/>
  <c r="Q254" i="1"/>
  <c r="P254" i="1"/>
  <c r="O254" i="1"/>
  <c r="N254" i="1"/>
  <c r="M254" i="1"/>
  <c r="Q251" i="1"/>
  <c r="P251" i="1"/>
  <c r="O251" i="1"/>
  <c r="N251" i="1"/>
  <c r="M251" i="1"/>
  <c r="Q250" i="1"/>
  <c r="P250" i="1"/>
  <c r="O250" i="1"/>
  <c r="N250" i="1"/>
  <c r="M250" i="1"/>
  <c r="Q249" i="1"/>
  <c r="P249" i="1"/>
  <c r="O249" i="1"/>
  <c r="N249" i="1"/>
  <c r="M249" i="1"/>
  <c r="Q246" i="1"/>
  <c r="P246" i="1"/>
  <c r="O246" i="1"/>
  <c r="N246" i="1"/>
  <c r="M246" i="1"/>
  <c r="Q245" i="1"/>
  <c r="P245" i="1"/>
  <c r="O245" i="1"/>
  <c r="N245" i="1"/>
  <c r="M245" i="1"/>
  <c r="Q242" i="1"/>
  <c r="P242" i="1"/>
  <c r="O242" i="1"/>
  <c r="N242" i="1"/>
  <c r="M242" i="1"/>
  <c r="Q241" i="1"/>
  <c r="P241" i="1"/>
  <c r="O241" i="1"/>
  <c r="N241" i="1"/>
  <c r="M241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M238" i="1"/>
  <c r="M237" i="1"/>
  <c r="M236" i="1"/>
  <c r="L220" i="1"/>
  <c r="M220" i="1"/>
  <c r="N220" i="1"/>
  <c r="O220" i="1"/>
  <c r="P220" i="1"/>
  <c r="L221" i="1"/>
  <c r="M221" i="1"/>
  <c r="N221" i="1"/>
  <c r="O221" i="1"/>
  <c r="P221" i="1"/>
  <c r="L222" i="1"/>
  <c r="M222" i="1"/>
  <c r="N222" i="1"/>
  <c r="O222" i="1"/>
  <c r="P222" i="1"/>
  <c r="L223" i="1"/>
  <c r="M223" i="1"/>
  <c r="N223" i="1"/>
  <c r="O223" i="1"/>
  <c r="P223" i="1"/>
  <c r="K223" i="1"/>
  <c r="K222" i="1"/>
  <c r="K221" i="1"/>
  <c r="K220" i="1"/>
  <c r="G207" i="1"/>
  <c r="F187" i="1"/>
  <c r="F185" i="1"/>
  <c r="F184" i="1"/>
  <c r="F183" i="1"/>
  <c r="G154" i="1"/>
  <c r="G152" i="1"/>
  <c r="G151" i="1"/>
  <c r="G150" i="1"/>
  <c r="F152" i="1"/>
  <c r="G147" i="1"/>
  <c r="G143" i="1"/>
  <c r="K95" i="1"/>
  <c r="K50" i="1"/>
  <c r="L267" i="8" l="1"/>
  <c r="D265" i="8"/>
  <c r="D264" i="8"/>
  <c r="D263" i="8"/>
  <c r="D262" i="8"/>
  <c r="L256" i="8"/>
  <c r="J256" i="8"/>
  <c r="Q255" i="8"/>
  <c r="P255" i="8"/>
  <c r="O255" i="8"/>
  <c r="N255" i="8"/>
  <c r="M255" i="8"/>
  <c r="L255" i="8"/>
  <c r="K255" i="8"/>
  <c r="J255" i="8"/>
  <c r="Q252" i="8"/>
  <c r="P252" i="8"/>
  <c r="O252" i="8"/>
  <c r="N252" i="8"/>
  <c r="M252" i="8"/>
  <c r="L252" i="8"/>
  <c r="K252" i="8"/>
  <c r="J252" i="8"/>
  <c r="Q251" i="8"/>
  <c r="P251" i="8"/>
  <c r="O251" i="8"/>
  <c r="N251" i="8"/>
  <c r="M251" i="8"/>
  <c r="L251" i="8"/>
  <c r="K251" i="8"/>
  <c r="J251" i="8"/>
  <c r="Q250" i="8"/>
  <c r="P250" i="8"/>
  <c r="O250" i="8"/>
  <c r="N250" i="8"/>
  <c r="M250" i="8"/>
  <c r="L250" i="8"/>
  <c r="K250" i="8"/>
  <c r="J250" i="8"/>
  <c r="Q247" i="8"/>
  <c r="P247" i="8"/>
  <c r="O247" i="8"/>
  <c r="N247" i="8"/>
  <c r="M247" i="8"/>
  <c r="L247" i="8"/>
  <c r="K247" i="8"/>
  <c r="J247" i="8"/>
  <c r="Q246" i="8"/>
  <c r="P246" i="8"/>
  <c r="O246" i="8"/>
  <c r="N246" i="8"/>
  <c r="M246" i="8"/>
  <c r="L246" i="8"/>
  <c r="K246" i="8"/>
  <c r="J246" i="8"/>
  <c r="Q243" i="8"/>
  <c r="P243" i="8"/>
  <c r="O243" i="8"/>
  <c r="N243" i="8"/>
  <c r="M243" i="8"/>
  <c r="L243" i="8"/>
  <c r="K243" i="8"/>
  <c r="J243" i="8"/>
  <c r="Q242" i="8"/>
  <c r="P242" i="8"/>
  <c r="O242" i="8"/>
  <c r="N242" i="8"/>
  <c r="M242" i="8"/>
  <c r="L242" i="8"/>
  <c r="K242" i="8"/>
  <c r="J242" i="8"/>
  <c r="Q239" i="8"/>
  <c r="P239" i="8"/>
  <c r="O239" i="8"/>
  <c r="N239" i="8"/>
  <c r="M239" i="8"/>
  <c r="L239" i="8"/>
  <c r="K239" i="8"/>
  <c r="J239" i="8"/>
  <c r="Q238" i="8"/>
  <c r="P238" i="8"/>
  <c r="O238" i="8"/>
  <c r="N238" i="8"/>
  <c r="M238" i="8"/>
  <c r="L238" i="8"/>
  <c r="K238" i="8"/>
  <c r="J238" i="8"/>
  <c r="Q237" i="8"/>
  <c r="P237" i="8"/>
  <c r="O237" i="8"/>
  <c r="N237" i="8"/>
  <c r="M237" i="8"/>
  <c r="L237" i="8"/>
  <c r="K237" i="8"/>
  <c r="J237" i="8"/>
  <c r="Q234" i="8"/>
  <c r="P234" i="8"/>
  <c r="O234" i="8"/>
  <c r="N234" i="8"/>
  <c r="M234" i="8"/>
  <c r="L234" i="8"/>
  <c r="K234" i="8"/>
  <c r="J234" i="8"/>
  <c r="I234" i="8"/>
  <c r="O226" i="8"/>
  <c r="I265" i="8" s="1"/>
  <c r="K226" i="8"/>
  <c r="D226" i="8"/>
  <c r="P224" i="8"/>
  <c r="O224" i="8"/>
  <c r="N224" i="8"/>
  <c r="M224" i="8"/>
  <c r="L224" i="8"/>
  <c r="K224" i="8"/>
  <c r="P223" i="8"/>
  <c r="O223" i="8"/>
  <c r="N223" i="8"/>
  <c r="M223" i="8"/>
  <c r="L223" i="8"/>
  <c r="K223" i="8"/>
  <c r="P222" i="8"/>
  <c r="O222" i="8"/>
  <c r="N222" i="8"/>
  <c r="N226" i="8" s="1"/>
  <c r="M222" i="8"/>
  <c r="M226" i="8" s="1"/>
  <c r="L222" i="8"/>
  <c r="L226" i="8" s="1"/>
  <c r="I264" i="8" s="1"/>
  <c r="K222" i="8"/>
  <c r="P221" i="8"/>
  <c r="O221" i="8"/>
  <c r="N221" i="8"/>
  <c r="M221" i="8"/>
  <c r="L221" i="8"/>
  <c r="K221" i="8"/>
  <c r="P212" i="8"/>
  <c r="O212" i="8"/>
  <c r="M212" i="8"/>
  <c r="L212" i="8"/>
  <c r="I206" i="8"/>
  <c r="G206" i="8"/>
  <c r="G204" i="8"/>
  <c r="I226" i="8" s="1"/>
  <c r="M203" i="8"/>
  <c r="L203" i="8"/>
  <c r="P226" i="8" s="1"/>
  <c r="K203" i="8"/>
  <c r="J203" i="8"/>
  <c r="M202" i="8"/>
  <c r="L202" i="8"/>
  <c r="K202" i="8"/>
  <c r="J202" i="8"/>
  <c r="M200" i="8"/>
  <c r="L200" i="8"/>
  <c r="K200" i="8"/>
  <c r="J200" i="8"/>
  <c r="I191" i="8"/>
  <c r="I192" i="8" s="1"/>
  <c r="I189" i="8"/>
  <c r="I188" i="8" s="1"/>
  <c r="F188" i="8"/>
  <c r="M187" i="8"/>
  <c r="N187" i="8" s="1"/>
  <c r="K187" i="8"/>
  <c r="J187" i="8"/>
  <c r="F186" i="8"/>
  <c r="G207" i="8" s="1"/>
  <c r="F185" i="8"/>
  <c r="J174" i="8"/>
  <c r="K174" i="8" s="1"/>
  <c r="L174" i="8" s="1"/>
  <c r="M174" i="8" s="1"/>
  <c r="M170" i="8"/>
  <c r="L170" i="8"/>
  <c r="K170" i="8"/>
  <c r="J170" i="8"/>
  <c r="I170" i="8"/>
  <c r="M169" i="8"/>
  <c r="L169" i="8"/>
  <c r="K169" i="8"/>
  <c r="J169" i="8"/>
  <c r="I169" i="8"/>
  <c r="M168" i="8"/>
  <c r="L168" i="8"/>
  <c r="K168" i="8"/>
  <c r="J168" i="8"/>
  <c r="I168" i="8"/>
  <c r="K166" i="8"/>
  <c r="K167" i="8" s="1"/>
  <c r="K171" i="8" s="1"/>
  <c r="D166" i="8"/>
  <c r="M165" i="8"/>
  <c r="L165" i="8"/>
  <c r="K165" i="8"/>
  <c r="J165" i="8"/>
  <c r="J166" i="8" s="1"/>
  <c r="J167" i="8" s="1"/>
  <c r="J171" i="8" s="1"/>
  <c r="I165" i="8"/>
  <c r="I166" i="8" s="1"/>
  <c r="I167" i="8" s="1"/>
  <c r="I171" i="8" s="1"/>
  <c r="M163" i="8"/>
  <c r="J180" i="8" s="1"/>
  <c r="L163" i="8"/>
  <c r="K163" i="8"/>
  <c r="J163" i="8"/>
  <c r="I163" i="8"/>
  <c r="D181" i="8" s="1"/>
  <c r="K153" i="8"/>
  <c r="K152" i="8"/>
  <c r="G205" i="8" s="1"/>
  <c r="L150" i="8"/>
  <c r="M150" i="8" s="1"/>
  <c r="L149" i="8"/>
  <c r="M149" i="8" s="1"/>
  <c r="L148" i="8"/>
  <c r="M148" i="8" s="1"/>
  <c r="G147" i="8"/>
  <c r="L146" i="8"/>
  <c r="M146" i="8" s="1"/>
  <c r="L145" i="8"/>
  <c r="M145" i="8" s="1"/>
  <c r="G144" i="8"/>
  <c r="L143" i="8"/>
  <c r="M143" i="8" s="1"/>
  <c r="L142" i="8"/>
  <c r="M142" i="8" s="1"/>
  <c r="Q95" i="8"/>
  <c r="P95" i="8"/>
  <c r="O95" i="8"/>
  <c r="N95" i="8"/>
  <c r="M95" i="8"/>
  <c r="J95" i="8"/>
  <c r="I95" i="8" s="1"/>
  <c r="L86" i="8"/>
  <c r="M86" i="8" s="1"/>
  <c r="N86" i="8" s="1"/>
  <c r="O86" i="8" s="1"/>
  <c r="P86" i="8" s="1"/>
  <c r="Q86" i="8" s="1"/>
  <c r="K86" i="8"/>
  <c r="J86" i="8"/>
  <c r="I86" i="8"/>
  <c r="L85" i="8"/>
  <c r="M85" i="8" s="1"/>
  <c r="N85" i="8" s="1"/>
  <c r="O85" i="8" s="1"/>
  <c r="P85" i="8" s="1"/>
  <c r="Q85" i="8" s="1"/>
  <c r="K85" i="8"/>
  <c r="J85" i="8"/>
  <c r="I85" i="8"/>
  <c r="J84" i="8"/>
  <c r="L83" i="8"/>
  <c r="L84" i="8" s="1"/>
  <c r="K83" i="8"/>
  <c r="J83" i="8"/>
  <c r="I83" i="8"/>
  <c r="I84" i="8" s="1"/>
  <c r="L82" i="8"/>
  <c r="M82" i="8" s="1"/>
  <c r="N82" i="8" s="1"/>
  <c r="O82" i="8" s="1"/>
  <c r="P82" i="8" s="1"/>
  <c r="Q82" i="8" s="1"/>
  <c r="K82" i="8"/>
  <c r="J82" i="8"/>
  <c r="I82" i="8"/>
  <c r="M81" i="8"/>
  <c r="N81" i="8" s="1"/>
  <c r="O81" i="8" s="1"/>
  <c r="P81" i="8" s="1"/>
  <c r="Q81" i="8" s="1"/>
  <c r="L81" i="8"/>
  <c r="K81" i="8"/>
  <c r="J81" i="8"/>
  <c r="I81" i="8"/>
  <c r="L80" i="8"/>
  <c r="M80" i="8" s="1"/>
  <c r="N80" i="8" s="1"/>
  <c r="O80" i="8" s="1"/>
  <c r="P80" i="8" s="1"/>
  <c r="Q80" i="8" s="1"/>
  <c r="K80" i="8"/>
  <c r="J80" i="8"/>
  <c r="I80" i="8"/>
  <c r="Q78" i="8"/>
  <c r="N78" i="8"/>
  <c r="Q77" i="8"/>
  <c r="N77" i="8"/>
  <c r="Q50" i="8"/>
  <c r="P50" i="8"/>
  <c r="O50" i="8"/>
  <c r="N50" i="8"/>
  <c r="M50" i="8"/>
  <c r="J50" i="8"/>
  <c r="I50" i="8"/>
  <c r="F152" i="8" l="1"/>
  <c r="G208" i="8"/>
  <c r="J264" i="8"/>
  <c r="L264" i="8" s="1"/>
  <c r="L166" i="8"/>
  <c r="L167" i="8" s="1"/>
  <c r="L171" i="8" s="1"/>
  <c r="K256" i="8"/>
  <c r="K84" i="8"/>
  <c r="M84" i="8" s="1"/>
  <c r="J265" i="8"/>
  <c r="L265" i="8" s="1"/>
  <c r="K154" i="8"/>
  <c r="M166" i="8"/>
  <c r="M167" i="8" s="1"/>
  <c r="M171" i="8" s="1"/>
  <c r="M180" i="8" s="1"/>
  <c r="L144" i="8"/>
  <c r="M144" i="8" s="1"/>
  <c r="M151" i="8" s="1"/>
  <c r="G146" i="8" s="1"/>
  <c r="G148" i="8" s="1"/>
  <c r="L147" i="8"/>
  <c r="M147" i="8" s="1"/>
  <c r="F151" i="8"/>
  <c r="F184" i="8"/>
  <c r="L151" i="8" l="1"/>
  <c r="I262" i="8"/>
  <c r="J226" i="8"/>
  <c r="M204" i="8"/>
  <c r="L204" i="8"/>
  <c r="K204" i="8"/>
  <c r="M205" i="8"/>
  <c r="J204" i="8"/>
  <c r="L205" i="8"/>
  <c r="K205" i="8"/>
  <c r="J262" i="8"/>
  <c r="L262" i="8" s="1"/>
  <c r="J205" i="8"/>
  <c r="F153" i="8"/>
  <c r="G152" i="8" s="1"/>
  <c r="N84" i="8"/>
  <c r="M83" i="8"/>
  <c r="M256" i="8" s="1"/>
  <c r="G155" i="8" l="1"/>
  <c r="O84" i="8"/>
  <c r="N83" i="8"/>
  <c r="N256" i="8" s="1"/>
  <c r="G151" i="8"/>
  <c r="G153" i="8" s="1"/>
  <c r="P84" i="8" l="1"/>
  <c r="O83" i="8"/>
  <c r="O256" i="8" s="1"/>
  <c r="L173" i="8"/>
  <c r="L175" i="8" s="1"/>
  <c r="L177" i="8" s="1"/>
  <c r="K173" i="8"/>
  <c r="K175" i="8" s="1"/>
  <c r="K177" i="8" s="1"/>
  <c r="J173" i="8"/>
  <c r="J175" i="8" s="1"/>
  <c r="J177" i="8" s="1"/>
  <c r="I173" i="8"/>
  <c r="I175" i="8" s="1"/>
  <c r="I177" i="8" s="1"/>
  <c r="M173" i="8"/>
  <c r="M175" i="8" s="1"/>
  <c r="M177" i="8" s="1"/>
  <c r="M182" i="8"/>
  <c r="F182" i="8" s="1"/>
  <c r="M183" i="8" s="1"/>
  <c r="F181" i="8" l="1"/>
  <c r="F183" i="8" s="1"/>
  <c r="I263" i="8" s="1"/>
  <c r="Q84" i="8"/>
  <c r="Q83" i="8" s="1"/>
  <c r="Q256" i="8" s="1"/>
  <c r="P83" i="8"/>
  <c r="P256" i="8" s="1"/>
  <c r="F187" i="8" l="1"/>
  <c r="F189" i="8" s="1"/>
  <c r="J263" i="8" s="1"/>
  <c r="L263" i="8" s="1"/>
  <c r="L266" i="8" s="1"/>
  <c r="L268" i="8" s="1"/>
  <c r="I187" i="8" l="1"/>
  <c r="L250" i="1" l="1"/>
  <c r="K250" i="1"/>
  <c r="J250" i="1"/>
  <c r="L249" i="1"/>
  <c r="K249" i="1"/>
  <c r="J249" i="1"/>
  <c r="L246" i="1"/>
  <c r="K246" i="1"/>
  <c r="J246" i="1"/>
  <c r="L245" i="1"/>
  <c r="K245" i="1"/>
  <c r="J245" i="1"/>
  <c r="L233" i="1"/>
  <c r="K233" i="1"/>
  <c r="D225" i="1"/>
  <c r="G205" i="1"/>
  <c r="G203" i="1"/>
  <c r="I225" i="1" s="1"/>
  <c r="J201" i="1"/>
  <c r="J199" i="1"/>
  <c r="I205" i="1" s="1"/>
  <c r="I190" i="1"/>
  <c r="I191" i="1" s="1"/>
  <c r="I188" i="1"/>
  <c r="I187" i="1" s="1"/>
  <c r="M186" i="1"/>
  <c r="N186" i="1" s="1"/>
  <c r="K186" i="1"/>
  <c r="J186" i="1" s="1"/>
  <c r="G206" i="1"/>
  <c r="J173" i="1"/>
  <c r="K173" i="1" s="1"/>
  <c r="L173" i="1" s="1"/>
  <c r="M173" i="1" s="1"/>
  <c r="D165" i="1"/>
  <c r="K152" i="1"/>
  <c r="K151" i="1"/>
  <c r="L146" i="1" s="1"/>
  <c r="M146" i="1" s="1"/>
  <c r="G146" i="1"/>
  <c r="L85" i="1"/>
  <c r="M85" i="1" s="1"/>
  <c r="K85" i="1"/>
  <c r="J85" i="1"/>
  <c r="I85" i="1"/>
  <c r="L83" i="1"/>
  <c r="L84" i="1" s="1"/>
  <c r="K83" i="1"/>
  <c r="K84" i="1" s="1"/>
  <c r="J83" i="1"/>
  <c r="J84" i="1" s="1"/>
  <c r="I83" i="1"/>
  <c r="I84" i="1" s="1"/>
  <c r="L82" i="1"/>
  <c r="M82" i="1" s="1"/>
  <c r="K82" i="1"/>
  <c r="J82" i="1"/>
  <c r="I82" i="1"/>
  <c r="L81" i="1"/>
  <c r="M81" i="1" s="1"/>
  <c r="K81" i="1"/>
  <c r="J81" i="1"/>
  <c r="I81" i="1"/>
  <c r="L80" i="1"/>
  <c r="M80" i="1" s="1"/>
  <c r="K80" i="1"/>
  <c r="J80" i="1"/>
  <c r="I80" i="1"/>
  <c r="K86" i="1"/>
  <c r="J86" i="1"/>
  <c r="I86" i="1"/>
  <c r="J242" i="1"/>
  <c r="L241" i="1"/>
  <c r="K241" i="1"/>
  <c r="J50" i="1"/>
  <c r="I50" i="1" s="1"/>
  <c r="J95" i="1"/>
  <c r="I95" i="1" s="1"/>
  <c r="L236" i="1"/>
  <c r="K238" i="1"/>
  <c r="J238" i="1"/>
  <c r="J233" i="1"/>
  <c r="M84" i="1" l="1"/>
  <c r="N84" i="1" s="1"/>
  <c r="F151" i="1"/>
  <c r="L144" i="1"/>
  <c r="M144" i="1" s="1"/>
  <c r="G204" i="1"/>
  <c r="L147" i="1"/>
  <c r="M147" i="1" s="1"/>
  <c r="L143" i="1"/>
  <c r="M143" i="1" s="1"/>
  <c r="L148" i="1"/>
  <c r="M148" i="1" s="1"/>
  <c r="L254" i="1"/>
  <c r="J241" i="1"/>
  <c r="I233" i="1"/>
  <c r="J202" i="1"/>
  <c r="N225" i="1" s="1"/>
  <c r="K225" i="1"/>
  <c r="L237" i="1"/>
  <c r="K242" i="1"/>
  <c r="L251" i="1"/>
  <c r="L242" i="1"/>
  <c r="J236" i="1"/>
  <c r="K236" i="1"/>
  <c r="L141" i="1"/>
  <c r="L142" i="1"/>
  <c r="M142" i="1" s="1"/>
  <c r="F150" i="1"/>
  <c r="K153" i="1"/>
  <c r="L145" i="1"/>
  <c r="M145" i="1" s="1"/>
  <c r="L149" i="1"/>
  <c r="M149" i="1" s="1"/>
  <c r="N82" i="1"/>
  <c r="N85" i="1"/>
  <c r="N80" i="1"/>
  <c r="N81" i="1"/>
  <c r="L86" i="1"/>
  <c r="M86" i="1" s="1"/>
  <c r="J225" i="1" l="1"/>
  <c r="L238" i="1"/>
  <c r="L255" i="1"/>
  <c r="K254" i="1"/>
  <c r="K251" i="1"/>
  <c r="K237" i="1"/>
  <c r="K255" i="1"/>
  <c r="J255" i="1"/>
  <c r="J254" i="1"/>
  <c r="J251" i="1"/>
  <c r="J237" i="1"/>
  <c r="L150" i="1"/>
  <c r="M141" i="1"/>
  <c r="M150" i="1" s="1"/>
  <c r="O81" i="1"/>
  <c r="N86" i="1"/>
  <c r="O80" i="1"/>
  <c r="O85" i="1"/>
  <c r="O84" i="1"/>
  <c r="O82" i="1"/>
  <c r="G145" i="1" l="1"/>
  <c r="P80" i="1"/>
  <c r="O86" i="1"/>
  <c r="P82" i="1"/>
  <c r="P84" i="1"/>
  <c r="P81" i="1"/>
  <c r="P85" i="1"/>
  <c r="Q80" i="1" l="1"/>
  <c r="Q85" i="1"/>
  <c r="Q82" i="1"/>
  <c r="Q81" i="1"/>
  <c r="Q84" i="1"/>
  <c r="P86" i="1"/>
  <c r="M172" i="1" l="1"/>
  <c r="M174" i="1" s="1"/>
  <c r="M176" i="1" s="1"/>
  <c r="L172" i="1"/>
  <c r="L174" i="1" s="1"/>
  <c r="L176" i="1" s="1"/>
  <c r="J172" i="1"/>
  <c r="J174" i="1" s="1"/>
  <c r="J176" i="1" s="1"/>
  <c r="K172" i="1"/>
  <c r="K174" i="1" s="1"/>
  <c r="K176" i="1" s="1"/>
  <c r="I172" i="1"/>
  <c r="I174" i="1" s="1"/>
  <c r="I176" i="1" s="1"/>
  <c r="Q86" i="1"/>
  <c r="F180" i="1" l="1"/>
  <c r="L266" i="1"/>
  <c r="D264" i="1"/>
  <c r="D263" i="1"/>
  <c r="D262" i="1"/>
  <c r="D261" i="1"/>
  <c r="K201" i="1" l="1"/>
  <c r="M83" i="1"/>
  <c r="I169" i="1" l="1"/>
  <c r="L225" i="1"/>
  <c r="L211" i="1" l="1"/>
  <c r="M50" i="1"/>
  <c r="K199" i="1"/>
  <c r="I162" i="1"/>
  <c r="M233" i="1"/>
  <c r="O211" i="1"/>
  <c r="M95" i="1"/>
  <c r="L199" i="1" l="1"/>
  <c r="N50" i="1"/>
  <c r="J162" i="1"/>
  <c r="N233" i="1"/>
  <c r="P211" i="1"/>
  <c r="M211" i="1"/>
  <c r="N95" i="1"/>
  <c r="M199" i="1" l="1"/>
  <c r="O50" i="1"/>
  <c r="K162" i="1"/>
  <c r="O233" i="1"/>
  <c r="O95" i="1"/>
  <c r="P50" i="1" l="1"/>
  <c r="L162" i="1"/>
  <c r="P233" i="1"/>
  <c r="P95" i="1"/>
  <c r="M162" i="1" l="1"/>
  <c r="Q233" i="1"/>
  <c r="Q50" i="1"/>
  <c r="Q95" i="1"/>
  <c r="J179" i="1" l="1"/>
  <c r="D180" i="1"/>
  <c r="I167" i="1" l="1"/>
  <c r="L201" i="1"/>
  <c r="N83" i="1"/>
  <c r="I263" i="1"/>
  <c r="I168" i="1" l="1"/>
  <c r="M201" i="1"/>
  <c r="O83" i="1"/>
  <c r="J167" i="1"/>
  <c r="J169" i="1"/>
  <c r="M225" i="1"/>
  <c r="I164" i="1"/>
  <c r="I165" i="1" l="1"/>
  <c r="I166" i="1" s="1"/>
  <c r="I170" i="1" s="1"/>
  <c r="K167" i="1"/>
  <c r="K169" i="1"/>
  <c r="P83" i="1"/>
  <c r="J168" i="1" l="1"/>
  <c r="K202" i="1"/>
  <c r="J164" i="1"/>
  <c r="J165" i="1" s="1"/>
  <c r="J166" i="1" s="1"/>
  <c r="L167" i="1"/>
  <c r="L169" i="1"/>
  <c r="Q83" i="1"/>
  <c r="J170" i="1" l="1"/>
  <c r="O225" i="1"/>
  <c r="I264" i="1" s="1"/>
  <c r="L202" i="1"/>
  <c r="M169" i="1"/>
  <c r="M167" i="1"/>
  <c r="K168" i="1"/>
  <c r="L164" i="1"/>
  <c r="K164" i="1"/>
  <c r="L168" i="1" l="1"/>
  <c r="M168" i="1"/>
  <c r="K165" i="1"/>
  <c r="K166" i="1" s="1"/>
  <c r="K170" i="1" s="1"/>
  <c r="L165" i="1"/>
  <c r="L166" i="1" s="1"/>
  <c r="P225" i="1"/>
  <c r="L170" i="1" l="1"/>
  <c r="M164" i="1"/>
  <c r="M165" i="1"/>
  <c r="M166" i="1" s="1"/>
  <c r="M170" i="1" s="1"/>
  <c r="M202" i="1"/>
  <c r="M179" i="1" l="1"/>
  <c r="M181" i="1" s="1"/>
  <c r="J263" i="1"/>
  <c r="L263" i="1" s="1"/>
  <c r="J264" i="1"/>
  <c r="L264" i="1" s="1"/>
  <c r="F181" i="1" l="1"/>
  <c r="F182" i="1" s="1"/>
  <c r="J261" i="1"/>
  <c r="L261" i="1" s="1"/>
  <c r="I261" i="1"/>
  <c r="F186" i="1" l="1"/>
  <c r="F188" i="1" s="1"/>
  <c r="I186" i="1" s="1"/>
  <c r="M182" i="1"/>
  <c r="N77" i="1"/>
  <c r="N78" i="1" l="1"/>
  <c r="I262" i="1" l="1"/>
  <c r="J262" i="1" l="1"/>
  <c r="L262" i="1" s="1"/>
  <c r="L265" i="1" s="1"/>
  <c r="L267" i="1" s="1"/>
  <c r="Q78" i="1" l="1"/>
  <c r="Q77" i="1" l="1"/>
</calcChain>
</file>

<file path=xl/sharedStrings.xml><?xml version="1.0" encoding="utf-8"?>
<sst xmlns="http://schemas.openxmlformats.org/spreadsheetml/2006/main" count="829" uniqueCount="291">
  <si>
    <t>Task 1</t>
  </si>
  <si>
    <t>Income Statement</t>
  </si>
  <si>
    <t>Historical</t>
  </si>
  <si>
    <t>Projected</t>
  </si>
  <si>
    <t>CAGR</t>
  </si>
  <si>
    <t>Amounts in millions</t>
  </si>
  <si>
    <t>Units</t>
  </si>
  <si>
    <t>Revenue</t>
  </si>
  <si>
    <t>$m</t>
  </si>
  <si>
    <t>Cost of Sales</t>
  </si>
  <si>
    <t>Gross Profit</t>
  </si>
  <si>
    <t>Selling, General &amp; Administrative</t>
  </si>
  <si>
    <t>Operating Income</t>
  </si>
  <si>
    <t>Pretax Income</t>
  </si>
  <si>
    <t>Net Income</t>
  </si>
  <si>
    <t>EBIT</t>
  </si>
  <si>
    <t>Depreciation &amp; Amortization</t>
  </si>
  <si>
    <t>EBITDA</t>
  </si>
  <si>
    <t>x</t>
  </si>
  <si>
    <t>Income Statement Drivers</t>
  </si>
  <si>
    <t>Step</t>
  </si>
  <si>
    <t>Revenue Growth</t>
  </si>
  <si>
    <t>%</t>
  </si>
  <si>
    <t>Cost of Sales % Revenues</t>
  </si>
  <si>
    <t>Product Development as % Revenues</t>
  </si>
  <si>
    <t>Selling, General and Administrative Expenses % Revenues</t>
  </si>
  <si>
    <t>D&amp;A as a % of Revenue</t>
  </si>
  <si>
    <t>D&amp;A as a % Capital Expenditures</t>
  </si>
  <si>
    <t>Interest Expense as a % of Total Debt</t>
  </si>
  <si>
    <t>Taxes % of Profit Before Tax</t>
  </si>
  <si>
    <t>Task 2</t>
  </si>
  <si>
    <t>Balance Sheet</t>
  </si>
  <si>
    <t>Total Cash</t>
  </si>
  <si>
    <t>Accounts Receivable</t>
  </si>
  <si>
    <t>Inventory</t>
  </si>
  <si>
    <t>Other Current Assets</t>
  </si>
  <si>
    <t>Total Current Assets</t>
  </si>
  <si>
    <t>Net Property, Plant &amp; Equipment (PPE)</t>
  </si>
  <si>
    <t>Other Non-Current Assets</t>
  </si>
  <si>
    <t>Goodwill</t>
  </si>
  <si>
    <t>Total Assets</t>
  </si>
  <si>
    <t>Accounts Payable</t>
  </si>
  <si>
    <t>Other Current Liabilities</t>
  </si>
  <si>
    <t>Total Current Liabilities</t>
  </si>
  <si>
    <t>Long Term Debt</t>
  </si>
  <si>
    <t>Total Liabilities</t>
  </si>
  <si>
    <t>Total Equity</t>
  </si>
  <si>
    <t xml:space="preserve">Total Liabilities and Equity </t>
  </si>
  <si>
    <t>Balance Sheet Parity Check</t>
  </si>
  <si>
    <t>Balance Sheet Drivers</t>
  </si>
  <si>
    <t>Accounts Receivable % Revenues</t>
  </si>
  <si>
    <t>Inventory % COGS</t>
  </si>
  <si>
    <t>Other Current Assets % Revenues</t>
  </si>
  <si>
    <t>Capital Expenditures</t>
  </si>
  <si>
    <t>Capital Expenditures % Revenue</t>
  </si>
  <si>
    <t>Accounts Payable % COGS</t>
  </si>
  <si>
    <t>Other Current Liabilities % Revenues</t>
  </si>
  <si>
    <t>LT Debt Repayment Schedule</t>
  </si>
  <si>
    <t>Task 3</t>
  </si>
  <si>
    <t>Cash Flow Statement</t>
  </si>
  <si>
    <t xml:space="preserve">Net Income </t>
  </si>
  <si>
    <t>$</t>
  </si>
  <si>
    <t>Stock Based Compensation</t>
  </si>
  <si>
    <t>Other</t>
  </si>
  <si>
    <t>Changes in operating assets and liabilities</t>
  </si>
  <si>
    <t>Account Receivables</t>
  </si>
  <si>
    <t>Other Operating Assets and Liabilities</t>
  </si>
  <si>
    <t>Cash Provided by Operating Activities:</t>
  </si>
  <si>
    <t>Purchase of available-for-sale investments</t>
  </si>
  <si>
    <t>Cash Flows from Investing Activities:</t>
  </si>
  <si>
    <t>Debt Issued</t>
  </si>
  <si>
    <t>Debt Repayments</t>
  </si>
  <si>
    <t>Dividends Paid</t>
  </si>
  <si>
    <t>Cash Flows from Financing Activities:</t>
  </si>
  <si>
    <t>Effect of foreign exchange rate changes</t>
  </si>
  <si>
    <t>Change in Cash</t>
  </si>
  <si>
    <t>Cash at Beginning of Period</t>
  </si>
  <si>
    <t>Cash at End of Period</t>
  </si>
  <si>
    <t>Cash Flow Drivers</t>
  </si>
  <si>
    <t>Stock based compensation % SG&amp;A</t>
  </si>
  <si>
    <t>Dividend Payout Ratio</t>
  </si>
  <si>
    <t>Task 4</t>
  </si>
  <si>
    <t>Discounted Cash Flow Analysis</t>
  </si>
  <si>
    <t>Weighted Average Cost of Capital</t>
  </si>
  <si>
    <t>Weighted average historical cost of debt</t>
  </si>
  <si>
    <r>
      <t>Risk free rate (R</t>
    </r>
    <r>
      <rPr>
        <vertAlign val="subscript"/>
        <sz val="1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</si>
  <si>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t>Rate</t>
  </si>
  <si>
    <t>Principal</t>
  </si>
  <si>
    <t>% total</t>
  </si>
  <si>
    <t>Weighted cost</t>
  </si>
  <si>
    <t>Equity Beta</t>
  </si>
  <si>
    <r>
      <t>Equity risk premium (R</t>
    </r>
    <r>
      <rPr>
        <vertAlign val="subscript"/>
        <sz val="1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- R</t>
    </r>
    <r>
      <rPr>
        <vertAlign val="subscript"/>
        <sz val="1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</si>
  <si>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Cost of Equity (K</t>
    </r>
    <r>
      <rPr>
        <b/>
        <vertAlign val="subscript"/>
        <sz val="8"/>
        <rFont val="Calibri"/>
        <family val="2"/>
        <scheme val="minor"/>
      </rPr>
      <t>e</t>
    </r>
    <r>
      <rPr>
        <b/>
        <sz val="10"/>
        <rFont val="Calibri"/>
        <family val="2"/>
        <scheme val="minor"/>
      </rPr>
      <t>)</t>
    </r>
  </si>
  <si>
    <t>Cost of debt</t>
  </si>
  <si>
    <t>Tax rate</t>
  </si>
  <si>
    <r>
      <t>After-tax Cost of Debt (K</t>
    </r>
    <r>
      <rPr>
        <b/>
        <vertAlign val="subscript"/>
        <sz val="8"/>
        <rFont val="Calibri"/>
        <family val="2"/>
        <scheme val="minor"/>
      </rPr>
      <t>dt</t>
    </r>
    <r>
      <rPr>
        <b/>
        <sz val="10"/>
        <rFont val="Calibri"/>
        <family val="2"/>
        <scheme val="minor"/>
      </rPr>
      <t>)</t>
    </r>
  </si>
  <si>
    <t>Percentage of Capital</t>
  </si>
  <si>
    <t>Debt</t>
  </si>
  <si>
    <t>Equity</t>
  </si>
  <si>
    <t>Total capital</t>
  </si>
  <si>
    <t>Discounted Cash Flow</t>
  </si>
  <si>
    <t>Amounts in millions, except per share amount</t>
  </si>
  <si>
    <t>NOPAT</t>
  </si>
  <si>
    <t>+ Depreciation and Amortization</t>
  </si>
  <si>
    <t>± Changes in working capital</t>
  </si>
  <si>
    <t>– Capital expenditures</t>
  </si>
  <si>
    <t>Unlevered Free Cash Flows</t>
  </si>
  <si>
    <t>Discount rate</t>
  </si>
  <si>
    <t>Discount period</t>
  </si>
  <si>
    <t>#</t>
  </si>
  <si>
    <t>Discount factor</t>
  </si>
  <si>
    <t>Present Value of Unlevered Free Cash Flow</t>
  </si>
  <si>
    <t>DCF Value - Perpetuity Growth</t>
  </si>
  <si>
    <t>Terminal Value - Perpetuity Growth</t>
  </si>
  <si>
    <t>Perpetuity growth rate</t>
  </si>
  <si>
    <t>PV of Terminal Value</t>
  </si>
  <si>
    <t>Terminal Value</t>
  </si>
  <si>
    <t>Implied Enterprise Value</t>
  </si>
  <si>
    <t>Implied Exit Multiple</t>
  </si>
  <si>
    <t>Less: Debt</t>
  </si>
  <si>
    <t>Add: Cash</t>
  </si>
  <si>
    <t>Implied Value Per Share</t>
  </si>
  <si>
    <t>Steps</t>
  </si>
  <si>
    <t>Perpetuity Growth Rate</t>
  </si>
  <si>
    <t>Perp. Growth</t>
  </si>
  <si>
    <t>Implied Equity Value</t>
  </si>
  <si>
    <t>Diluted shares</t>
  </si>
  <si>
    <t>WACC</t>
  </si>
  <si>
    <t>Comparable Company Analysis</t>
  </si>
  <si>
    <t>Enterprise Value</t>
  </si>
  <si>
    <t>Enterprise Value Multiples</t>
  </si>
  <si>
    <t xml:space="preserve">Share price </t>
  </si>
  <si>
    <t xml:space="preserve">Diluted Shares </t>
  </si>
  <si>
    <t>Equity Value</t>
  </si>
  <si>
    <t>Total Debt</t>
  </si>
  <si>
    <t>Cash</t>
  </si>
  <si>
    <t>Market</t>
  </si>
  <si>
    <t>Enterprise</t>
  </si>
  <si>
    <t xml:space="preserve">  Enterprise Value / Revenue</t>
  </si>
  <si>
    <t xml:space="preserve">  Enterprise Value / EBITDA</t>
  </si>
  <si>
    <t>Company</t>
  </si>
  <si>
    <t>Value</t>
  </si>
  <si>
    <t>LTM</t>
  </si>
  <si>
    <t>Source: S&amp;P Capital IQ, and company information</t>
  </si>
  <si>
    <t xml:space="preserve">High </t>
  </si>
  <si>
    <t xml:space="preserve">Mean </t>
  </si>
  <si>
    <t xml:space="preserve">Median </t>
  </si>
  <si>
    <t xml:space="preserve">Low </t>
  </si>
  <si>
    <t>Ratios and Key Metrics</t>
  </si>
  <si>
    <t>Profitability</t>
  </si>
  <si>
    <t>Gross Profit Margin</t>
  </si>
  <si>
    <t>EBITDA Margin</t>
  </si>
  <si>
    <t>Operating Profit Margin</t>
  </si>
  <si>
    <t>Liquidity</t>
  </si>
  <si>
    <t>Current Ratio</t>
  </si>
  <si>
    <t>Quick Ratio (Acid Test)</t>
  </si>
  <si>
    <t xml:space="preserve">Activity </t>
  </si>
  <si>
    <t>Accounts Receivable Days Outstanding (DSO)</t>
  </si>
  <si>
    <t>Accounts Payable Days Outstanding (DPO)</t>
  </si>
  <si>
    <t>Leverage</t>
  </si>
  <si>
    <t>Debt to Equity</t>
  </si>
  <si>
    <t>Debt to Capital</t>
  </si>
  <si>
    <t>Debt / EBITDA</t>
  </si>
  <si>
    <t>Coverage</t>
  </si>
  <si>
    <t>EBITDA / Interest</t>
  </si>
  <si>
    <t>(EBITDA - CapEx) / Interest</t>
  </si>
  <si>
    <t>Valuation Analysis</t>
  </si>
  <si>
    <t>Per Share</t>
  </si>
  <si>
    <t>Key:</t>
  </si>
  <si>
    <t>Linked Cell - No Action Required:</t>
  </si>
  <si>
    <t>Black</t>
  </si>
  <si>
    <t xml:space="preserve">Hard Input - No Action Required: </t>
  </si>
  <si>
    <t>Blue</t>
  </si>
  <si>
    <t>Empty - Action Required:</t>
  </si>
  <si>
    <t>Complete - Correct Output</t>
  </si>
  <si>
    <t>Y</t>
  </si>
  <si>
    <t>Complete - Incorrect Output</t>
  </si>
  <si>
    <t>Analyst Actions:</t>
  </si>
  <si>
    <r>
      <t>You will be scored based on the following:
- Correct cell output
- Correct use of formulas (</t>
    </r>
    <r>
      <rPr>
        <b/>
        <sz val="11"/>
        <color rgb="FFFF0000"/>
        <rFont val="Calibri"/>
        <family val="2"/>
        <scheme val="minor"/>
      </rPr>
      <t>don't hardcode</t>
    </r>
    <r>
      <rPr>
        <sz val="11"/>
        <color theme="1"/>
        <rFont val="Calibri"/>
        <family val="2"/>
        <scheme val="minor"/>
      </rPr>
      <t xml:space="preserve">)
- Speed (make sure you submit before the time limit)
(Make sure to focus more on accuracy and quality, rather than speed)
- You will need to refer to the videos to support your working through the valuation model.
- You will only be able to take this simulation once. Make sure you have charge on your laptop and a fully functioning Microsoft Excel. 
If you do require any support please email massupport@amplifyme.com or your course facilitator. </t>
    </r>
  </si>
  <si>
    <t>Note: NO RED/GREEN FORMATTING ON THESE CELLS!! (Complete every yellow cell)</t>
  </si>
  <si>
    <t>Note: NO VIDEO (green/red reinstated)</t>
  </si>
  <si>
    <t xml:space="preserve"> - </t>
  </si>
  <si>
    <t xml:space="preserve"> </t>
  </si>
  <si>
    <t>Weighting</t>
  </si>
  <si>
    <t>Contribution</t>
  </si>
  <si>
    <t>Share Price</t>
  </si>
  <si>
    <t>Range</t>
  </si>
  <si>
    <t>Comparison</t>
  </si>
  <si>
    <t>G147</t>
  </si>
  <si>
    <t>F180</t>
  </si>
  <si>
    <t>F181</t>
  </si>
  <si>
    <t>F183</t>
  </si>
  <si>
    <t>Task 4: https://youtu.be/WxoGiOQlQKk</t>
  </si>
  <si>
    <t>Task 4.1: https://youtu.be/nU_HilBSWT8</t>
  </si>
  <si>
    <t>Task 5: https://youtu.be/1UJorCXfWlU</t>
  </si>
  <si>
    <t>Justification</t>
  </si>
  <si>
    <t>Yes</t>
  </si>
  <si>
    <t>No</t>
  </si>
  <si>
    <t>Cash Equivalents</t>
  </si>
  <si>
    <t>Add: Cash Equivalents</t>
  </si>
  <si>
    <t>WorksheetName</t>
  </si>
  <si>
    <t>All financials calendarized to December year end</t>
  </si>
  <si>
    <t>NVIDIA Inc</t>
  </si>
  <si>
    <t>NVDA</t>
  </si>
  <si>
    <t>– Tax Benefit (Cost)</t>
  </si>
  <si>
    <t>Product Development + Ac Termination Costs</t>
  </si>
  <si>
    <t>± Non-Operating Income (Expense)</t>
  </si>
  <si>
    <t>Termination Costs</t>
  </si>
  <si>
    <t xml:space="preserve"> + Interest Income</t>
  </si>
  <si>
    <t xml:space="preserve"> - Interest Expense</t>
  </si>
  <si>
    <t>Short Term Debt</t>
  </si>
  <si>
    <t>Other Long Term Liabilities</t>
  </si>
  <si>
    <t>Proceeds (Purchase) from maturities and sales of marketable securities (net)</t>
  </si>
  <si>
    <t>Proceeds related to employee stock plans</t>
  </si>
  <si>
    <t>Payments related to repurchases of common stock</t>
  </si>
  <si>
    <t>Stock repayment % of Previous Year Cash + Marketable Securities</t>
  </si>
  <si>
    <t>Interest Income as a % of Total Previous Year Cash</t>
  </si>
  <si>
    <t>Unamortized debt discount</t>
  </si>
  <si>
    <t>Less short-term portion</t>
  </si>
  <si>
    <t>Total Long-Term Debt</t>
  </si>
  <si>
    <t>Texas Instruments Inc</t>
  </si>
  <si>
    <t>Microchip Technology Inc</t>
  </si>
  <si>
    <t>Analog Devices Inc</t>
  </si>
  <si>
    <t>Qualcomm Inc</t>
  </si>
  <si>
    <t>Taiwan Semiconductor Manufacturing Company</t>
  </si>
  <si>
    <t>Advanced Micro Devices Inc</t>
  </si>
  <si>
    <t>Broadcom Inc</t>
  </si>
  <si>
    <t>Premium/Discount</t>
  </si>
  <si>
    <t>Current Share Price</t>
  </si>
  <si>
    <t>Is NVIDIA Overvalued?</t>
  </si>
  <si>
    <t>Would you change any assumptions, valuation methods, or Trading Comps?</t>
  </si>
  <si>
    <t xml:space="preserve">EBITDA </t>
  </si>
  <si>
    <t>EV / Revenue</t>
  </si>
  <si>
    <t>EV / EBITDA</t>
  </si>
  <si>
    <t>G143</t>
  </si>
  <si>
    <t>G150</t>
  </si>
  <si>
    <t>G151</t>
  </si>
  <si>
    <t>G152</t>
  </si>
  <si>
    <t>F152</t>
  </si>
  <si>
    <t>G154</t>
  </si>
  <si>
    <t>I174:M174</t>
  </si>
  <si>
    <t>I176:M176</t>
  </si>
  <si>
    <t>F182</t>
  </si>
  <si>
    <t>F184</t>
  </si>
  <si>
    <t>F185</t>
  </si>
  <si>
    <t>F186</t>
  </si>
  <si>
    <t>F187</t>
  </si>
  <si>
    <t>F188</t>
  </si>
  <si>
    <t>I186</t>
  </si>
  <si>
    <t>I189</t>
  </si>
  <si>
    <t>L186</t>
  </si>
  <si>
    <t>G207</t>
  </si>
  <si>
    <t>J203:M203</t>
  </si>
  <si>
    <t>J204:M204</t>
  </si>
  <si>
    <t>K220:P220</t>
  </si>
  <si>
    <t>K221:P221</t>
  </si>
  <si>
    <t>K222:P222</t>
  </si>
  <si>
    <t>K223:P223</t>
  </si>
  <si>
    <t>M236:Q236</t>
  </si>
  <si>
    <t>M237:Q237</t>
  </si>
  <si>
    <t>M238:Q238</t>
  </si>
  <si>
    <t>M241:Q241</t>
  </si>
  <si>
    <t>M242:Q242</t>
  </si>
  <si>
    <t>M245:Q245</t>
  </si>
  <si>
    <t>M246:Q246</t>
  </si>
  <si>
    <t>M249:Q249</t>
  </si>
  <si>
    <t>M250:Q250</t>
  </si>
  <si>
    <t>M251:Q251</t>
  </si>
  <si>
    <t>M254:Q254</t>
  </si>
  <si>
    <t>M255:Q255</t>
  </si>
  <si>
    <t>J187:N191</t>
  </si>
  <si>
    <t>Task</t>
  </si>
  <si>
    <t>CorrVal</t>
  </si>
  <si>
    <t>DataTable</t>
  </si>
  <si>
    <t>Videos alternative to Youtube links: follow the link below and check out section 4: 45m Banking Explore Simulation!</t>
  </si>
  <si>
    <t>https://amplifyme.com/path-player?courseid=explore-banking&amp;unit=677bc877b6da69b83407bba5Unit</t>
  </si>
  <si>
    <t>(1) 10-Y Treasury Yield 28th Feb 2025</t>
  </si>
  <si>
    <t>(2) Source: ValueInvesting.io - Nvidia 5y beta</t>
  </si>
  <si>
    <t>(3) Source: Alphaspread</t>
  </si>
  <si>
    <t>Amounts in millions as of February 28th 2025</t>
  </si>
  <si>
    <t>Task 1.1</t>
  </si>
  <si>
    <t>2026 - 2031</t>
  </si>
  <si>
    <t>Task 1: https://youtu.be/WxoGiOQlQKk</t>
  </si>
  <si>
    <t>Task 1.1: https://youtu.be/nU_HilBSWT8</t>
  </si>
  <si>
    <t>Task 2: https://youtu.be/1UJorCXfWlU</t>
  </si>
  <si>
    <t>&lt; See cell K151</t>
  </si>
  <si>
    <t>&lt; See row 202</t>
  </si>
  <si>
    <t>&lt; See cell L52</t>
  </si>
  <si>
    <t>&lt; See cell L53</t>
  </si>
  <si>
    <t>1st the revenue growth step down of 10%/ year is somewhat arbitrary. We have no revenue build in our analysis to show real  projections for this assumption. I would look to MD&amp;A, notes, and other research to see if we could develop a revenue build to more accurately forecast this driver. Second, I am not confident in our equal weighting of all valuation methods. DCF and EV/EBITDA better capute the actual economics of the business. Equally weighting EV/revenue is not capturing the large impact of Nvidia's Gross margin. Finally, I would remove TSMC from the comps. They are a foundry and actually a supplier of Nvidia.</t>
  </si>
  <si>
    <t xml:space="preserve">Based on our DCF analysis, we are suggesting that Nvidia is undervalued with an implied share price of 221.82. The comps are mixed. Based on our EV/EBITDA multiple Nvidia is undervalued, while the EV/Revenue shows that it is overvalued. All in I would consider the share price to be fairly valued to undervalued based on our analysis with upside contingent on continued margin performance.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</si>
</sst>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&quot;FY&quot;0\A"/>
    <numFmt numFmtId="166" formatCode="&quot;FY&quot;0\E"/>
    <numFmt numFmtId="167" formatCode="_(* #,##0_);_(* \(#,##0\);_(* \–\ ?;_(@_)"/>
    <numFmt numFmtId="168" formatCode="#,##0.0%_);\(#,##0.0%\)"/>
    <numFmt numFmtId="169" formatCode="_(* #,##0_);_(* \(#,##0\);_(* &quot;-&quot;??_);_(@_)"/>
    <numFmt numFmtId="170" formatCode="General&quot;E&quot;"/>
    <numFmt numFmtId="171" formatCode="0.0%"/>
    <numFmt numFmtId="172" formatCode="#,##0.00%_);\(#,##0.00%\)"/>
    <numFmt numFmtId="173" formatCode="_)0"/>
    <numFmt numFmtId="174" formatCode="#,##0.0\x_)"/>
    <numFmt numFmtId="175" formatCode="0.00%_);\(0.00%\)"/>
    <numFmt numFmtId="176" formatCode="#,##0.00\x_);&quot;NM &quot;;\-_)"/>
    <numFmt numFmtId="177" formatCode="0.0\x;\(0.0\x\)"/>
    <numFmt numFmtId="178" formatCode="_(* #,##0.0_);_(* \(#,##0.0\);_(* &quot;-&quot;?_);_(@_)"/>
    <numFmt numFmtId="179" formatCode="_(* #,##0.00_);_(* \(#,##0.00\);_(* \–\ ?;_(@_)"/>
    <numFmt numFmtId="180" formatCode="#,##0.0000000000000"/>
    <numFmt numFmtId="181" formatCode="#,##0.00000000000000"/>
    <numFmt numFmtId="182" formatCode="0.0&quot;x&quot;"/>
    <numFmt numFmtId="183" formatCode="0.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11"/>
      <color rgb="FF33669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vertAlign val="subscript"/>
      <sz val="8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9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850A0"/>
        <bgColor indexed="64"/>
      </patternFill>
    </fill>
  </fills>
  <borders count="85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thin">
        <color theme="8" tint="0.39994506668294322"/>
      </top>
      <bottom style="thin">
        <color theme="8" tint="0.79998168889431442"/>
      </bottom>
      <diagonal/>
    </border>
    <border>
      <left/>
      <right/>
      <top style="thin">
        <color theme="8" tint="0.39994506668294322"/>
      </top>
      <bottom style="thin">
        <color theme="8" tint="0.79998168889431442"/>
      </bottom>
      <diagonal/>
    </border>
    <border>
      <left/>
      <right/>
      <top style="thin">
        <color theme="4" tint="0.79998168889431442"/>
      </top>
      <bottom style="thin">
        <color theme="4" tint="0.39994506668294322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 style="thin">
        <color theme="8" tint="0.79998168889431442"/>
      </bottom>
      <diagonal/>
    </border>
    <border>
      <left style="medium">
        <color theme="0"/>
      </left>
      <right/>
      <top style="thin">
        <color theme="0"/>
      </top>
      <bottom style="thin">
        <color theme="4" tint="0.39994506668294322"/>
      </bottom>
      <diagonal/>
    </border>
    <border>
      <left/>
      <right/>
      <top style="thin">
        <color theme="0"/>
      </top>
      <bottom style="thin">
        <color theme="4" tint="0.39994506668294322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/>
      </top>
      <bottom style="thin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79998168889431442"/>
      </top>
      <bottom/>
      <diagonal/>
    </border>
    <border>
      <left/>
      <right/>
      <top style="double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theme="1"/>
      </top>
      <bottom style="double">
        <color auto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rgb="FF2850A0"/>
      </bottom>
      <diagonal/>
    </border>
    <border>
      <left/>
      <right style="thin">
        <color indexed="64"/>
      </right>
      <top style="thin">
        <color theme="0"/>
      </top>
      <bottom style="thin">
        <color theme="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8" tint="0.39994506668294322"/>
      </top>
      <bottom style="thin">
        <color theme="8" tint="0.79998168889431442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0" fontId="1" fillId="0" borderId="0"/>
    <xf numFmtId="0" fontId="4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45" fillId="5" borderId="0" applyNumberFormat="0" applyBorder="0" applyAlignment="0" applyProtection="0"/>
    <xf numFmtId="0" fontId="46" fillId="6" borderId="0" applyNumberFormat="0" applyBorder="0" applyAlignment="0" applyProtection="0"/>
    <xf numFmtId="0" fontId="47" fillId="7" borderId="0" applyNumberFormat="0" applyBorder="0" applyAlignment="0" applyProtection="0"/>
  </cellStyleXfs>
  <cellXfs count="451">
    <xf numFmtId="0" fontId="0" fillId="0" borderId="0" xfId="0"/>
    <xf numFmtId="0" fontId="0" fillId="0" borderId="0" xfId="0" applyProtection="1">
      <protection locked="0"/>
    </xf>
    <xf numFmtId="43" fontId="3" fillId="2" borderId="0" xfId="1" applyFont="1" applyFill="1" applyBorder="1" applyAlignment="1" applyProtection="1">
      <alignment horizontal="left" vertical="center"/>
      <protection locked="0"/>
    </xf>
    <xf numFmtId="43" fontId="6" fillId="2" borderId="0" xfId="1" applyFont="1" applyFill="1" applyBorder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8" fillId="0" borderId="0" xfId="0" applyFont="1" applyAlignment="1" applyProtection="1">
      <alignment vertical="top"/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167" fontId="12" fillId="0" borderId="0" xfId="1" applyNumberFormat="1" applyFont="1" applyFill="1" applyProtection="1">
      <protection locked="0"/>
    </xf>
    <xf numFmtId="167" fontId="12" fillId="0" borderId="6" xfId="1" applyNumberFormat="1" applyFont="1" applyFill="1" applyBorder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67" fontId="12" fillId="0" borderId="0" xfId="1" applyNumberFormat="1" applyFont="1" applyFill="1" applyBorder="1" applyProtection="1">
      <protection locked="0"/>
    </xf>
    <xf numFmtId="0" fontId="3" fillId="0" borderId="8" xfId="0" applyFont="1" applyBorder="1" applyAlignment="1" applyProtection="1">
      <alignment horizontal="left" indent="2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167" fontId="9" fillId="0" borderId="8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169" fontId="3" fillId="0" borderId="6" xfId="1" applyNumberFormat="1" applyFont="1" applyFill="1" applyBorder="1" applyProtection="1">
      <protection locked="0"/>
    </xf>
    <xf numFmtId="169" fontId="3" fillId="0" borderId="0" xfId="1" applyNumberFormat="1" applyFont="1" applyFill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11" xfId="0" applyFont="1" applyBorder="1" applyProtection="1"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167" fontId="9" fillId="0" borderId="11" xfId="1" applyNumberFormat="1" applyFont="1" applyFill="1" applyBorder="1" applyProtection="1">
      <protection locked="0"/>
    </xf>
    <xf numFmtId="0" fontId="0" fillId="0" borderId="12" xfId="0" applyBorder="1" applyProtection="1">
      <protection locked="0"/>
    </xf>
    <xf numFmtId="167" fontId="0" fillId="0" borderId="0" xfId="0" applyNumberFormat="1" applyProtection="1">
      <protection locked="0"/>
    </xf>
    <xf numFmtId="167" fontId="12" fillId="0" borderId="0" xfId="0" applyNumberFormat="1" applyFont="1" applyProtection="1">
      <protection locked="0"/>
    </xf>
    <xf numFmtId="0" fontId="3" fillId="0" borderId="13" xfId="0" applyFont="1" applyBorder="1" applyProtection="1"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0" fillId="0" borderId="6" xfId="0" applyBorder="1"/>
    <xf numFmtId="0" fontId="17" fillId="3" borderId="0" xfId="0" applyFont="1" applyFill="1" applyProtection="1">
      <protection locked="0"/>
    </xf>
    <xf numFmtId="43" fontId="3" fillId="0" borderId="6" xfId="1" applyFont="1" applyFill="1" applyBorder="1" applyProtection="1">
      <protection locked="0"/>
    </xf>
    <xf numFmtId="0" fontId="13" fillId="0" borderId="0" xfId="0" applyFont="1" applyAlignment="1" applyProtection="1">
      <alignment horizontal="left" inden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8" fontId="20" fillId="0" borderId="0" xfId="2" applyNumberFormat="1" applyFont="1" applyFill="1" applyAlignment="1" applyProtection="1">
      <alignment horizontal="right"/>
      <protection locked="0"/>
    </xf>
    <xf numFmtId="168" fontId="20" fillId="0" borderId="6" xfId="2" applyNumberFormat="1" applyFont="1" applyFill="1" applyBorder="1" applyAlignment="1" applyProtection="1">
      <alignment horizontal="right"/>
      <protection locked="0"/>
    </xf>
    <xf numFmtId="168" fontId="13" fillId="0" borderId="0" xfId="2" applyNumberFormat="1" applyFont="1" applyFill="1" applyBorder="1" applyProtection="1">
      <protection locked="0"/>
    </xf>
    <xf numFmtId="0" fontId="13" fillId="0" borderId="0" xfId="0" applyFont="1" applyProtection="1">
      <protection locked="0"/>
    </xf>
    <xf numFmtId="168" fontId="19" fillId="0" borderId="7" xfId="0" applyNumberFormat="1" applyFont="1" applyBorder="1" applyProtection="1">
      <protection locked="0"/>
    </xf>
    <xf numFmtId="168" fontId="13" fillId="0" borderId="0" xfId="2" applyNumberFormat="1" applyFont="1" applyFill="1" applyBorder="1" applyAlignment="1" applyProtection="1">
      <alignment horizontal="right"/>
      <protection locked="0"/>
    </xf>
    <xf numFmtId="168" fontId="19" fillId="0" borderId="0" xfId="2" applyNumberFormat="1" applyFont="1" applyFill="1" applyAlignment="1" applyProtection="1">
      <alignment horizontal="right"/>
      <protection locked="0"/>
    </xf>
    <xf numFmtId="168" fontId="13" fillId="0" borderId="0" xfId="2" applyNumberFormat="1" applyFont="1" applyFill="1" applyAlignment="1" applyProtection="1">
      <alignment horizontal="right"/>
      <protection locked="0"/>
    </xf>
    <xf numFmtId="168" fontId="21" fillId="0" borderId="0" xfId="2" applyNumberFormat="1" applyFont="1" applyFill="1" applyAlignment="1" applyProtection="1">
      <alignment horizontal="right"/>
      <protection locked="0"/>
    </xf>
    <xf numFmtId="168" fontId="19" fillId="0" borderId="0" xfId="0" applyNumberFormat="1" applyFont="1" applyProtection="1">
      <protection locked="0"/>
    </xf>
    <xf numFmtId="168" fontId="21" fillId="0" borderId="6" xfId="2" applyNumberFormat="1" applyFont="1" applyFill="1" applyBorder="1" applyAlignment="1" applyProtection="1">
      <alignment horizontal="right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/>
      <protection locked="0"/>
    </xf>
    <xf numFmtId="170" fontId="9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horizontal="left" indent="1"/>
      <protection locked="0"/>
    </xf>
    <xf numFmtId="167" fontId="11" fillId="0" borderId="0" xfId="1" applyNumberFormat="1" applyFont="1" applyFill="1" applyBorder="1" applyProtection="1">
      <protection locked="0"/>
    </xf>
    <xf numFmtId="0" fontId="9" fillId="0" borderId="8" xfId="0" applyFont="1" applyBorder="1" applyAlignment="1" applyProtection="1">
      <alignment horizontal="left"/>
      <protection locked="0"/>
    </xf>
    <xf numFmtId="167" fontId="14" fillId="0" borderId="8" xfId="1" applyNumberFormat="1" applyFont="1" applyFill="1" applyBorder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167" fontId="9" fillId="0" borderId="0" xfId="1" applyNumberFormat="1" applyFont="1" applyFill="1" applyBorder="1" applyProtection="1">
      <protection locked="0"/>
    </xf>
    <xf numFmtId="167" fontId="9" fillId="0" borderId="6" xfId="1" applyNumberFormat="1" applyFont="1" applyFill="1" applyBorder="1" applyProtection="1"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167" fontId="14" fillId="0" borderId="15" xfId="1" applyNumberFormat="1" applyFont="1" applyFill="1" applyBorder="1" applyProtection="1"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43" fontId="9" fillId="0" borderId="8" xfId="1" applyFont="1" applyFill="1" applyBorder="1" applyAlignment="1" applyProtection="1">
      <alignment horizontal="left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/>
      <protection locked="0"/>
    </xf>
    <xf numFmtId="167" fontId="9" fillId="0" borderId="0" xfId="1" applyNumberFormat="1" applyFont="1" applyFill="1" applyProtection="1">
      <protection locked="0"/>
    </xf>
    <xf numFmtId="167" fontId="11" fillId="0" borderId="0" xfId="1" applyNumberFormat="1" applyFont="1" applyFill="1" applyProtection="1">
      <protection locked="0"/>
    </xf>
    <xf numFmtId="0" fontId="21" fillId="0" borderId="0" xfId="0" applyFont="1" applyAlignment="1" applyProtection="1">
      <alignment horizontal="left" vertical="center" indent="1"/>
      <protection locked="0"/>
    </xf>
    <xf numFmtId="0" fontId="13" fillId="2" borderId="0" xfId="0" applyFont="1" applyFill="1" applyAlignment="1" applyProtection="1">
      <alignment horizontal="left" indent="1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68" fontId="20" fillId="2" borderId="0" xfId="2" applyNumberFormat="1" applyFont="1" applyFill="1" applyBorder="1" applyProtection="1">
      <protection locked="0"/>
    </xf>
    <xf numFmtId="168" fontId="20" fillId="2" borderId="6" xfId="2" applyNumberFormat="1" applyFont="1" applyFill="1" applyBorder="1" applyProtection="1">
      <protection locked="0"/>
    </xf>
    <xf numFmtId="168" fontId="20" fillId="2" borderId="0" xfId="2" applyNumberFormat="1" applyFont="1" applyFill="1" applyAlignment="1" applyProtection="1">
      <alignment horizontal="right"/>
      <protection locked="0"/>
    </xf>
    <xf numFmtId="0" fontId="21" fillId="2" borderId="0" xfId="0" applyFont="1" applyFill="1" applyAlignment="1" applyProtection="1">
      <alignment horizontal="left" indent="1"/>
      <protection locked="0"/>
    </xf>
    <xf numFmtId="167" fontId="20" fillId="0" borderId="6" xfId="1" applyNumberFormat="1" applyFont="1" applyFill="1" applyBorder="1" applyProtection="1">
      <protection locked="0"/>
    </xf>
    <xf numFmtId="167" fontId="19" fillId="0" borderId="0" xfId="1" applyNumberFormat="1" applyFont="1" applyFill="1" applyProtection="1">
      <protection locked="0"/>
    </xf>
    <xf numFmtId="167" fontId="21" fillId="0" borderId="0" xfId="1" applyNumberFormat="1" applyFont="1" applyFill="1" applyProtection="1">
      <protection locked="0"/>
    </xf>
    <xf numFmtId="168" fontId="19" fillId="2" borderId="6" xfId="2" applyNumberFormat="1" applyFont="1" applyFill="1" applyBorder="1" applyProtection="1">
      <protection locked="0"/>
    </xf>
    <xf numFmtId="168" fontId="13" fillId="2" borderId="0" xfId="2" applyNumberFormat="1" applyFont="1" applyFill="1" applyAlignment="1" applyProtection="1">
      <alignment horizontal="right"/>
      <protection locked="0"/>
    </xf>
    <xf numFmtId="0" fontId="20" fillId="2" borderId="0" xfId="0" applyFont="1" applyFill="1" applyAlignment="1" applyProtection="1">
      <alignment horizontal="left" vertical="center" indent="1"/>
      <protection locked="0"/>
    </xf>
    <xf numFmtId="168" fontId="19" fillId="2" borderId="0" xfId="1" applyNumberFormat="1" applyFont="1" applyFill="1" applyBorder="1" applyProtection="1">
      <protection locked="0"/>
    </xf>
    <xf numFmtId="168" fontId="19" fillId="2" borderId="0" xfId="2" applyNumberFormat="1" applyFont="1" applyFill="1" applyBorder="1" applyProtection="1">
      <protection locked="0"/>
    </xf>
    <xf numFmtId="167" fontId="0" fillId="0" borderId="0" xfId="1" applyNumberFormat="1" applyFont="1" applyFill="1" applyProtection="1">
      <protection locked="0"/>
    </xf>
    <xf numFmtId="167" fontId="0" fillId="0" borderId="6" xfId="1" applyNumberFormat="1" applyFont="1" applyFill="1" applyBorder="1" applyProtection="1">
      <protection locked="0"/>
    </xf>
    <xf numFmtId="167" fontId="3" fillId="0" borderId="8" xfId="1" applyNumberFormat="1" applyFont="1" applyFill="1" applyBorder="1" applyProtection="1">
      <protection locked="0"/>
    </xf>
    <xf numFmtId="167" fontId="3" fillId="0" borderId="9" xfId="1" applyNumberFormat="1" applyFont="1" applyFill="1" applyBorder="1" applyProtection="1">
      <protection locked="0"/>
    </xf>
    <xf numFmtId="167" fontId="0" fillId="0" borderId="17" xfId="1" applyNumberFormat="1" applyFont="1" applyFill="1" applyBorder="1" applyProtection="1">
      <protection locked="0"/>
    </xf>
    <xf numFmtId="167" fontId="0" fillId="0" borderId="18" xfId="1" applyNumberFormat="1" applyFont="1" applyFill="1" applyBorder="1" applyProtection="1">
      <protection locked="0"/>
    </xf>
    <xf numFmtId="167" fontId="3" fillId="0" borderId="15" xfId="1" applyNumberFormat="1" applyFont="1" applyFill="1" applyBorder="1" applyProtection="1">
      <protection locked="0"/>
    </xf>
    <xf numFmtId="167" fontId="3" fillId="0" borderId="16" xfId="1" applyNumberFormat="1" applyFont="1" applyFill="1" applyBorder="1" applyProtection="1">
      <protection locked="0"/>
    </xf>
    <xf numFmtId="0" fontId="23" fillId="3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172" fontId="12" fillId="0" borderId="0" xfId="0" applyNumberFormat="1" applyFont="1" applyProtection="1">
      <protection locked="0"/>
    </xf>
    <xf numFmtId="173" fontId="25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right" indent="1"/>
      <protection locked="0"/>
    </xf>
    <xf numFmtId="0" fontId="26" fillId="2" borderId="0" xfId="0" applyFont="1" applyFill="1" applyProtection="1">
      <protection locked="0"/>
    </xf>
    <xf numFmtId="168" fontId="0" fillId="0" borderId="19" xfId="0" applyNumberFormat="1" applyBorder="1" applyAlignment="1" applyProtection="1">
      <alignment horizontal="right" indent="1"/>
      <protection locked="0"/>
    </xf>
    <xf numFmtId="172" fontId="0" fillId="0" borderId="19" xfId="0" applyNumberFormat="1" applyBorder="1" applyProtection="1">
      <protection locked="0"/>
    </xf>
    <xf numFmtId="0" fontId="0" fillId="2" borderId="0" xfId="0" applyFill="1" applyProtection="1">
      <protection locked="0"/>
    </xf>
    <xf numFmtId="0" fontId="23" fillId="0" borderId="8" xfId="0" applyFont="1" applyBorder="1" applyAlignment="1" applyProtection="1">
      <alignment horizontal="left" indent="1"/>
      <protection locked="0"/>
    </xf>
    <xf numFmtId="0" fontId="0" fillId="0" borderId="8" xfId="0" applyBorder="1" applyProtection="1">
      <protection locked="0"/>
    </xf>
    <xf numFmtId="0" fontId="9" fillId="0" borderId="8" xfId="0" applyFont="1" applyBorder="1" applyProtection="1">
      <protection locked="0"/>
    </xf>
    <xf numFmtId="173" fontId="28" fillId="0" borderId="8" xfId="0" applyNumberFormat="1" applyFont="1" applyBorder="1" applyAlignment="1" applyProtection="1">
      <alignment horizontal="left"/>
      <protection locked="0"/>
    </xf>
    <xf numFmtId="172" fontId="11" fillId="0" borderId="0" xfId="0" applyNumberFormat="1" applyFont="1" applyProtection="1">
      <protection locked="0"/>
    </xf>
    <xf numFmtId="173" fontId="28" fillId="0" borderId="0" xfId="0" applyNumberFormat="1" applyFont="1" applyAlignment="1" applyProtection="1">
      <alignment horizontal="left"/>
      <protection locked="0"/>
    </xf>
    <xf numFmtId="0" fontId="23" fillId="0" borderId="0" xfId="0" applyFont="1" applyProtection="1">
      <protection locked="0"/>
    </xf>
    <xf numFmtId="168" fontId="0" fillId="0" borderId="0" xfId="0" applyNumberFormat="1" applyProtection="1">
      <protection locked="0"/>
    </xf>
    <xf numFmtId="0" fontId="0" fillId="0" borderId="8" xfId="0" applyBorder="1" applyAlignment="1" applyProtection="1">
      <alignment horizontal="left" indent="2"/>
      <protection locked="0"/>
    </xf>
    <xf numFmtId="173" fontId="29" fillId="0" borderId="0" xfId="0" applyNumberFormat="1" applyFont="1" applyProtection="1">
      <protection locked="0"/>
    </xf>
    <xf numFmtId="0" fontId="30" fillId="0" borderId="0" xfId="0" applyFont="1" applyProtection="1"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1" fillId="0" borderId="0" xfId="3" applyFont="1" applyAlignment="1" applyProtection="1">
      <alignment horizontal="left"/>
      <protection locked="0"/>
    </xf>
    <xf numFmtId="0" fontId="11" fillId="0" borderId="0" xfId="3" applyFont="1" applyAlignment="1" applyProtection="1">
      <alignment horizontal="left" indent="1"/>
      <protection locked="0"/>
    </xf>
    <xf numFmtId="0" fontId="9" fillId="0" borderId="0" xfId="3" applyFont="1" applyAlignment="1" applyProtection="1">
      <alignment horizontal="left"/>
      <protection locked="0"/>
    </xf>
    <xf numFmtId="167" fontId="3" fillId="0" borderId="0" xfId="1" applyNumberFormat="1" applyFont="1" applyFill="1" applyProtection="1">
      <protection locked="0"/>
    </xf>
    <xf numFmtId="0" fontId="11" fillId="0" borderId="0" xfId="3" quotePrefix="1" applyFont="1" applyAlignment="1" applyProtection="1">
      <alignment horizontal="left" indent="1"/>
      <protection locked="0"/>
    </xf>
    <xf numFmtId="0" fontId="32" fillId="0" borderId="0" xfId="3" applyFont="1" applyAlignment="1" applyProtection="1">
      <alignment horizontal="left"/>
      <protection locked="0"/>
    </xf>
    <xf numFmtId="0" fontId="9" fillId="0" borderId="15" xfId="3" applyFont="1" applyBorder="1" applyAlignment="1" applyProtection="1">
      <alignment horizontal="left"/>
      <protection locked="0"/>
    </xf>
    <xf numFmtId="37" fontId="0" fillId="0" borderId="0" xfId="0" applyNumberFormat="1" applyProtection="1">
      <protection locked="0"/>
    </xf>
    <xf numFmtId="0" fontId="14" fillId="0" borderId="15" xfId="3" applyFont="1" applyBorder="1" applyAlignment="1" applyProtection="1">
      <alignment horizontal="left"/>
      <protection locked="0"/>
    </xf>
    <xf numFmtId="0" fontId="32" fillId="0" borderId="15" xfId="3" applyFont="1" applyBorder="1" applyAlignment="1" applyProtection="1">
      <alignment horizontal="left"/>
      <protection locked="0"/>
    </xf>
    <xf numFmtId="0" fontId="14" fillId="3" borderId="0" xfId="3" applyFont="1" applyFill="1" applyAlignment="1" applyProtection="1">
      <alignment horizontal="left"/>
      <protection locked="0"/>
    </xf>
    <xf numFmtId="0" fontId="32" fillId="3" borderId="0" xfId="3" applyFont="1" applyFill="1" applyAlignment="1" applyProtection="1">
      <alignment horizontal="left"/>
      <protection locked="0"/>
    </xf>
    <xf numFmtId="0" fontId="14" fillId="0" borderId="0" xfId="3" applyFont="1" applyAlignment="1" applyProtection="1">
      <alignment horizontal="left"/>
      <protection locked="0"/>
    </xf>
    <xf numFmtId="0" fontId="32" fillId="0" borderId="21" xfId="3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32" fillId="0" borderId="22" xfId="3" applyFont="1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9" fillId="0" borderId="8" xfId="3" applyFont="1" applyBorder="1" applyAlignment="1" applyProtection="1">
      <alignment horizontal="left" indent="1"/>
      <protection locked="0"/>
    </xf>
    <xf numFmtId="0" fontId="32" fillId="0" borderId="8" xfId="3" applyFont="1" applyBorder="1" applyAlignment="1" applyProtection="1">
      <alignment horizontal="left"/>
      <protection locked="0"/>
    </xf>
    <xf numFmtId="174" fontId="0" fillId="0" borderId="0" xfId="0" applyNumberFormat="1" applyProtection="1">
      <protection locked="0"/>
    </xf>
    <xf numFmtId="0" fontId="32" fillId="0" borderId="0" xfId="3" applyFont="1" applyProtection="1">
      <protection locked="0"/>
    </xf>
    <xf numFmtId="0" fontId="32" fillId="0" borderId="0" xfId="3" applyFont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75" fontId="33" fillId="0" borderId="7" xfId="3" applyNumberFormat="1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left" indent="1"/>
      <protection locked="0"/>
    </xf>
    <xf numFmtId="175" fontId="11" fillId="0" borderId="0" xfId="3" applyNumberFormat="1" applyFont="1" applyProtection="1">
      <protection locked="0"/>
    </xf>
    <xf numFmtId="175" fontId="32" fillId="0" borderId="0" xfId="3" applyNumberFormat="1" applyFont="1" applyProtection="1">
      <protection locked="0"/>
    </xf>
    <xf numFmtId="39" fontId="32" fillId="0" borderId="23" xfId="3" applyNumberFormat="1" applyFont="1" applyBorder="1" applyProtection="1">
      <protection locked="0"/>
    </xf>
    <xf numFmtId="39" fontId="32" fillId="0" borderId="24" xfId="3" applyNumberFormat="1" applyFont="1" applyBorder="1" applyProtection="1">
      <protection locked="0"/>
    </xf>
    <xf numFmtId="39" fontId="32" fillId="0" borderId="25" xfId="3" applyNumberFormat="1" applyFont="1" applyBorder="1" applyProtection="1">
      <protection locked="0"/>
    </xf>
    <xf numFmtId="39" fontId="32" fillId="0" borderId="0" xfId="3" applyNumberFormat="1" applyFont="1" applyProtection="1">
      <protection locked="0"/>
    </xf>
    <xf numFmtId="0" fontId="7" fillId="0" borderId="0" xfId="3" applyFont="1" applyProtection="1">
      <protection locked="0"/>
    </xf>
    <xf numFmtId="0" fontId="0" fillId="0" borderId="26" xfId="0" applyBorder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167" fontId="11" fillId="2" borderId="0" xfId="1" applyNumberFormat="1" applyFont="1" applyFill="1" applyBorder="1" applyAlignment="1" applyProtection="1">
      <alignment horizontal="right"/>
      <protection locked="0"/>
    </xf>
    <xf numFmtId="167" fontId="0" fillId="2" borderId="0" xfId="1" applyNumberFormat="1" applyFont="1" applyFill="1" applyAlignment="1" applyProtection="1">
      <alignment horizontal="right"/>
      <protection locked="0"/>
    </xf>
    <xf numFmtId="0" fontId="3" fillId="2" borderId="8" xfId="0" applyFont="1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2" xfId="0" applyFill="1" applyBorder="1" applyAlignment="1" applyProtection="1">
      <alignment horizontal="right"/>
      <protection locked="0"/>
    </xf>
    <xf numFmtId="37" fontId="0" fillId="4" borderId="32" xfId="0" applyNumberFormat="1" applyFill="1" applyBorder="1" applyProtection="1">
      <protection locked="0"/>
    </xf>
    <xf numFmtId="176" fontId="0" fillId="4" borderId="33" xfId="0" applyNumberFormat="1" applyFill="1" applyBorder="1" applyAlignment="1" applyProtection="1">
      <alignment horizontal="right" indent="2"/>
      <protection locked="0"/>
    </xf>
    <xf numFmtId="0" fontId="0" fillId="2" borderId="0" xfId="0" applyFill="1" applyAlignment="1" applyProtection="1">
      <alignment horizontal="right" indent="2"/>
      <protection locked="0"/>
    </xf>
    <xf numFmtId="0" fontId="0" fillId="0" borderId="0" xfId="0" applyAlignment="1" applyProtection="1">
      <alignment horizontal="right" indent="2"/>
      <protection locked="0"/>
    </xf>
    <xf numFmtId="0" fontId="22" fillId="2" borderId="0" xfId="0" applyFon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0" fillId="0" borderId="6" xfId="0" applyBorder="1" applyProtection="1"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168" fontId="11" fillId="2" borderId="0" xfId="2" applyNumberFormat="1" applyFont="1" applyFill="1" applyBorder="1" applyProtection="1">
      <protection locked="0"/>
    </xf>
    <xf numFmtId="168" fontId="11" fillId="2" borderId="6" xfId="2" applyNumberFormat="1" applyFont="1" applyFill="1" applyBorder="1" applyProtection="1">
      <protection locked="0"/>
    </xf>
    <xf numFmtId="174" fontId="0" fillId="0" borderId="6" xfId="0" applyNumberFormat="1" applyBorder="1" applyProtection="1">
      <protection locked="0"/>
    </xf>
    <xf numFmtId="178" fontId="0" fillId="0" borderId="0" xfId="0" applyNumberFormat="1" applyProtection="1">
      <protection locked="0"/>
    </xf>
    <xf numFmtId="0" fontId="23" fillId="2" borderId="15" xfId="0" applyFont="1" applyFill="1" applyBorder="1" applyAlignment="1" applyProtection="1">
      <alignment vertical="center"/>
      <protection locked="0"/>
    </xf>
    <xf numFmtId="167" fontId="3" fillId="0" borderId="34" xfId="0" applyNumberFormat="1" applyFont="1" applyBorder="1" applyProtection="1">
      <protection locked="0"/>
    </xf>
    <xf numFmtId="0" fontId="0" fillId="0" borderId="36" xfId="0" applyBorder="1" applyProtection="1">
      <protection locked="0"/>
    </xf>
    <xf numFmtId="0" fontId="0" fillId="0" borderId="37" xfId="0" applyBorder="1" applyProtection="1">
      <protection locked="0"/>
    </xf>
    <xf numFmtId="0" fontId="0" fillId="0" borderId="38" xfId="0" applyBorder="1" applyProtection="1">
      <protection locked="0"/>
    </xf>
    <xf numFmtId="0" fontId="0" fillId="2" borderId="38" xfId="0" applyFill="1" applyBorder="1" applyAlignment="1" applyProtection="1">
      <alignment horizontal="right"/>
      <protection locked="0"/>
    </xf>
    <xf numFmtId="167" fontId="0" fillId="2" borderId="38" xfId="0" applyNumberFormat="1" applyFill="1" applyBorder="1" applyAlignment="1" applyProtection="1">
      <alignment horizontal="right"/>
      <protection locked="0"/>
    </xf>
    <xf numFmtId="168" fontId="0" fillId="2" borderId="0" xfId="2" applyNumberFormat="1" applyFont="1" applyFill="1" applyBorder="1" applyAlignment="1" applyProtection="1">
      <alignment horizontal="right"/>
      <protection locked="0"/>
    </xf>
    <xf numFmtId="0" fontId="1" fillId="2" borderId="0" xfId="4" applyFill="1"/>
    <xf numFmtId="0" fontId="1" fillId="2" borderId="40" xfId="4" applyFill="1" applyBorder="1"/>
    <xf numFmtId="0" fontId="1" fillId="2" borderId="41" xfId="4" applyFill="1" applyBorder="1"/>
    <xf numFmtId="0" fontId="1" fillId="2" borderId="42" xfId="4" applyFill="1" applyBorder="1"/>
    <xf numFmtId="0" fontId="1" fillId="2" borderId="43" xfId="4" applyFill="1" applyBorder="1"/>
    <xf numFmtId="0" fontId="1" fillId="2" borderId="44" xfId="4" applyFill="1" applyBorder="1"/>
    <xf numFmtId="0" fontId="3" fillId="2" borderId="10" xfId="4" applyFont="1" applyFill="1" applyBorder="1"/>
    <xf numFmtId="0" fontId="1" fillId="2" borderId="9" xfId="4" applyFill="1" applyBorder="1"/>
    <xf numFmtId="0" fontId="1" fillId="2" borderId="36" xfId="4" applyFill="1" applyBorder="1"/>
    <xf numFmtId="0" fontId="1" fillId="2" borderId="6" xfId="4" applyFill="1" applyBorder="1" applyAlignment="1">
      <alignment horizontal="center"/>
    </xf>
    <xf numFmtId="0" fontId="12" fillId="2" borderId="6" xfId="4" applyFont="1" applyFill="1" applyBorder="1" applyAlignment="1">
      <alignment horizontal="center"/>
    </xf>
    <xf numFmtId="0" fontId="1" fillId="2" borderId="37" xfId="4" applyFill="1" applyBorder="1"/>
    <xf numFmtId="0" fontId="3" fillId="2" borderId="0" xfId="4" applyFont="1" applyFill="1"/>
    <xf numFmtId="0" fontId="1" fillId="2" borderId="46" xfId="4" applyFill="1" applyBorder="1"/>
    <xf numFmtId="0" fontId="1" fillId="2" borderId="47" xfId="4" applyFill="1" applyBorder="1"/>
    <xf numFmtId="0" fontId="1" fillId="2" borderId="48" xfId="4" applyFill="1" applyBorder="1"/>
    <xf numFmtId="0" fontId="36" fillId="0" borderId="0" xfId="0" applyFont="1" applyProtection="1">
      <protection locked="0"/>
    </xf>
    <xf numFmtId="0" fontId="37" fillId="0" borderId="0" xfId="0" applyFont="1" applyProtection="1">
      <protection locked="0"/>
    </xf>
    <xf numFmtId="0" fontId="3" fillId="2" borderId="0" xfId="1" applyNumberFormat="1" applyFont="1" applyFill="1" applyBorder="1" applyAlignment="1" applyProtection="1">
      <alignment horizontal="left" vertical="center"/>
      <protection locked="0"/>
    </xf>
    <xf numFmtId="0" fontId="36" fillId="0" borderId="49" xfId="0" applyFont="1" applyBorder="1" applyProtection="1">
      <protection locked="0"/>
    </xf>
    <xf numFmtId="0" fontId="0" fillId="0" borderId="49" xfId="0" applyBorder="1" applyProtection="1">
      <protection locked="0"/>
    </xf>
    <xf numFmtId="43" fontId="3" fillId="2" borderId="49" xfId="1" applyFont="1" applyFill="1" applyBorder="1" applyAlignment="1" applyProtection="1">
      <alignment horizontal="left" vertical="center"/>
      <protection locked="0"/>
    </xf>
    <xf numFmtId="43" fontId="6" fillId="2" borderId="49" xfId="1" applyFont="1" applyFill="1" applyBorder="1" applyAlignment="1" applyProtection="1">
      <alignment horizontal="left" vertical="center"/>
      <protection locked="0"/>
    </xf>
    <xf numFmtId="0" fontId="38" fillId="2" borderId="49" xfId="1" applyNumberFormat="1" applyFont="1" applyFill="1" applyBorder="1" applyAlignment="1" applyProtection="1">
      <protection locked="0"/>
    </xf>
    <xf numFmtId="0" fontId="39" fillId="0" borderId="0" xfId="0" applyFont="1" applyProtection="1">
      <protection locked="0"/>
    </xf>
    <xf numFmtId="168" fontId="20" fillId="0" borderId="0" xfId="2" applyNumberFormat="1" applyFont="1" applyFill="1" applyBorder="1" applyAlignment="1" applyProtection="1">
      <alignment horizontal="right"/>
      <protection locked="0"/>
    </xf>
    <xf numFmtId="10" fontId="0" fillId="0" borderId="0" xfId="2" applyNumberFormat="1" applyFont="1" applyProtection="1">
      <protection locked="0"/>
    </xf>
    <xf numFmtId="169" fontId="0" fillId="0" borderId="0" xfId="1" applyNumberFormat="1" applyFont="1" applyProtection="1">
      <protection locked="0"/>
    </xf>
    <xf numFmtId="43" fontId="3" fillId="0" borderId="0" xfId="1" applyFont="1" applyFill="1" applyBorder="1" applyProtection="1">
      <protection locked="0"/>
    </xf>
    <xf numFmtId="180" fontId="0" fillId="0" borderId="0" xfId="0" applyNumberFormat="1" applyProtection="1">
      <protection locked="0"/>
    </xf>
    <xf numFmtId="181" fontId="0" fillId="0" borderId="0" xfId="0" applyNumberFormat="1" applyProtection="1">
      <protection locked="0"/>
    </xf>
    <xf numFmtId="0" fontId="9" fillId="0" borderId="15" xfId="0" applyFont="1" applyBorder="1" applyAlignment="1" applyProtection="1">
      <alignment horizontal="left" vertical="center"/>
      <protection locked="0"/>
    </xf>
    <xf numFmtId="167" fontId="11" fillId="0" borderId="0" xfId="0" applyNumberFormat="1" applyFont="1" applyProtection="1">
      <protection locked="0"/>
    </xf>
    <xf numFmtId="176" fontId="11" fillId="4" borderId="32" xfId="0" applyNumberFormat="1" applyFont="1" applyFill="1" applyBorder="1" applyAlignment="1" applyProtection="1">
      <alignment horizontal="right" indent="2"/>
      <protection locked="0"/>
    </xf>
    <xf numFmtId="177" fontId="11" fillId="4" borderId="32" xfId="0" applyNumberFormat="1" applyFont="1" applyFill="1" applyBorder="1" applyAlignment="1" applyProtection="1">
      <alignment horizontal="right" indent="2"/>
      <protection locked="0"/>
    </xf>
    <xf numFmtId="0" fontId="42" fillId="0" borderId="0" xfId="5" applyFont="1" applyAlignment="1">
      <alignment vertical="center"/>
    </xf>
    <xf numFmtId="0" fontId="42" fillId="0" borderId="0" xfId="5" applyFont="1" applyAlignment="1"/>
    <xf numFmtId="9" fontId="0" fillId="0" borderId="0" xfId="2" applyFont="1" applyProtection="1">
      <protection locked="0"/>
    </xf>
    <xf numFmtId="0" fontId="43" fillId="0" borderId="0" xfId="0" applyFont="1"/>
    <xf numFmtId="10" fontId="12" fillId="0" borderId="0" xfId="2" applyNumberFormat="1" applyFont="1" applyFill="1" applyProtection="1">
      <protection locked="0"/>
    </xf>
    <xf numFmtId="167" fontId="3" fillId="0" borderId="56" xfId="1" applyNumberFormat="1" applyFont="1" applyFill="1" applyBorder="1" applyProtection="1">
      <protection locked="0"/>
    </xf>
    <xf numFmtId="169" fontId="1" fillId="0" borderId="55" xfId="1" applyNumberFormat="1" applyFont="1" applyFill="1" applyBorder="1" applyProtection="1">
      <protection locked="0"/>
    </xf>
    <xf numFmtId="169" fontId="0" fillId="0" borderId="0" xfId="0" applyNumberFormat="1" applyProtection="1">
      <protection locked="0"/>
    </xf>
    <xf numFmtId="9" fontId="0" fillId="2" borderId="0" xfId="2" applyFont="1" applyFill="1" applyBorder="1" applyAlignment="1" applyProtection="1">
      <alignment horizontal="right"/>
      <protection locked="0"/>
    </xf>
    <xf numFmtId="183" fontId="0" fillId="0" borderId="6" xfId="0" applyNumberFormat="1" applyBorder="1" applyProtection="1">
      <protection locked="0"/>
    </xf>
    <xf numFmtId="167" fontId="0" fillId="2" borderId="0" xfId="0" applyNumberFormat="1" applyFill="1" applyAlignment="1" applyProtection="1">
      <alignment horizontal="right"/>
      <protection locked="0"/>
    </xf>
    <xf numFmtId="9" fontId="0" fillId="2" borderId="38" xfId="2" applyFont="1" applyFill="1" applyBorder="1" applyAlignment="1" applyProtection="1">
      <alignment horizontal="right"/>
      <protection locked="0"/>
    </xf>
    <xf numFmtId="183" fontId="0" fillId="0" borderId="39" xfId="0" applyNumberFormat="1" applyBorder="1" applyProtection="1">
      <protection locked="0"/>
    </xf>
    <xf numFmtId="167" fontId="13" fillId="0" borderId="0" xfId="1" applyNumberFormat="1" applyFont="1" applyFill="1" applyBorder="1" applyProtection="1">
      <protection locked="0"/>
    </xf>
    <xf numFmtId="0" fontId="0" fillId="0" borderId="58" xfId="0" applyBorder="1" applyProtection="1">
      <protection locked="0"/>
    </xf>
    <xf numFmtId="167" fontId="22" fillId="0" borderId="0" xfId="0" applyNumberFormat="1" applyFont="1" applyProtection="1">
      <protection locked="0"/>
    </xf>
    <xf numFmtId="167" fontId="12" fillId="0" borderId="39" xfId="1" applyNumberFormat="1" applyFont="1" applyFill="1" applyBorder="1" applyProtection="1">
      <protection locked="0"/>
    </xf>
    <xf numFmtId="167" fontId="13" fillId="0" borderId="12" xfId="1" applyNumberFormat="1" applyFont="1" applyFill="1" applyBorder="1" applyProtection="1">
      <protection locked="0"/>
    </xf>
    <xf numFmtId="167" fontId="22" fillId="0" borderId="6" xfId="0" applyNumberFormat="1" applyFont="1" applyBorder="1" applyProtection="1">
      <protection locked="0"/>
    </xf>
    <xf numFmtId="167" fontId="0" fillId="0" borderId="6" xfId="0" applyNumberFormat="1" applyBorder="1"/>
    <xf numFmtId="167" fontId="44" fillId="0" borderId="0" xfId="0" applyNumberFormat="1" applyFont="1" applyProtection="1">
      <protection locked="0"/>
    </xf>
    <xf numFmtId="179" fontId="4" fillId="0" borderId="0" xfId="0" applyNumberFormat="1" applyFont="1"/>
    <xf numFmtId="40" fontId="0" fillId="2" borderId="0" xfId="0" applyNumberFormat="1" applyFill="1" applyProtection="1">
      <protection locked="0"/>
    </xf>
    <xf numFmtId="43" fontId="0" fillId="2" borderId="0" xfId="0" applyNumberFormat="1" applyFill="1" applyProtection="1">
      <protection locked="0"/>
    </xf>
    <xf numFmtId="164" fontId="0" fillId="2" borderId="0" xfId="0" applyNumberFormat="1" applyFill="1" applyProtection="1">
      <protection locked="0"/>
    </xf>
    <xf numFmtId="164" fontId="0" fillId="2" borderId="38" xfId="0" applyNumberFormat="1" applyFill="1" applyBorder="1" applyProtection="1">
      <protection locked="0"/>
    </xf>
    <xf numFmtId="174" fontId="0" fillId="0" borderId="0" xfId="0" applyNumberFormat="1" applyAlignment="1" applyProtection="1">
      <alignment horizontal="right"/>
      <protection locked="0"/>
    </xf>
    <xf numFmtId="0" fontId="0" fillId="0" borderId="59" xfId="0" applyBorder="1" applyProtection="1">
      <protection locked="0"/>
    </xf>
    <xf numFmtId="167" fontId="1" fillId="0" borderId="60" xfId="1" applyNumberFormat="1" applyFont="1" applyFill="1" applyBorder="1" applyProtection="1">
      <protection locked="0"/>
    </xf>
    <xf numFmtId="167" fontId="1" fillId="0" borderId="61" xfId="1" applyNumberFormat="1" applyFont="1" applyFill="1" applyBorder="1" applyProtection="1">
      <protection locked="0"/>
    </xf>
    <xf numFmtId="167" fontId="3" fillId="0" borderId="63" xfId="1" applyNumberFormat="1" applyFont="1" applyFill="1" applyBorder="1" applyProtection="1">
      <protection locked="0"/>
    </xf>
    <xf numFmtId="167" fontId="1" fillId="0" borderId="62" xfId="1" applyNumberFormat="1" applyFont="1" applyFill="1" applyBorder="1" applyProtection="1">
      <protection locked="0"/>
    </xf>
    <xf numFmtId="171" fontId="1" fillId="0" borderId="62" xfId="2" applyNumberFormat="1" applyFont="1" applyFill="1" applyBorder="1" applyProtection="1">
      <protection locked="0"/>
    </xf>
    <xf numFmtId="171" fontId="1" fillId="0" borderId="60" xfId="2" applyNumberFormat="1" applyFont="1" applyFill="1" applyBorder="1" applyProtection="1">
      <protection locked="0"/>
    </xf>
    <xf numFmtId="171" fontId="3" fillId="0" borderId="64" xfId="2" applyNumberFormat="1" applyFont="1" applyFill="1" applyBorder="1" applyProtection="1">
      <protection locked="0"/>
    </xf>
    <xf numFmtId="171" fontId="3" fillId="0" borderId="62" xfId="2" applyNumberFormat="1" applyFont="1" applyFill="1" applyBorder="1" applyProtection="1">
      <protection locked="0"/>
    </xf>
    <xf numFmtId="179" fontId="1" fillId="0" borderId="60" xfId="1" applyNumberFormat="1" applyFont="1" applyFill="1" applyBorder="1" applyProtection="1">
      <protection locked="0"/>
    </xf>
    <xf numFmtId="179" fontId="1" fillId="0" borderId="62" xfId="1" applyNumberFormat="1" applyFont="1" applyFill="1" applyBorder="1" applyProtection="1">
      <protection locked="0"/>
    </xf>
    <xf numFmtId="171" fontId="1" fillId="0" borderId="65" xfId="2" applyNumberFormat="1" applyFont="1" applyFill="1" applyBorder="1" applyProtection="1">
      <protection locked="0"/>
    </xf>
    <xf numFmtId="171" fontId="1" fillId="0" borderId="66" xfId="2" applyNumberFormat="1" applyFont="1" applyFill="1" applyBorder="1" applyProtection="1">
      <protection locked="0"/>
    </xf>
    <xf numFmtId="168" fontId="11" fillId="0" borderId="0" xfId="0" applyNumberFormat="1" applyFont="1" applyProtection="1">
      <protection locked="0"/>
    </xf>
    <xf numFmtId="167" fontId="9" fillId="0" borderId="9" xfId="1" applyNumberFormat="1" applyFont="1" applyFill="1" applyBorder="1" applyProtection="1">
      <protection locked="0"/>
    </xf>
    <xf numFmtId="167" fontId="9" fillId="0" borderId="68" xfId="1" applyNumberFormat="1" applyFont="1" applyFill="1" applyBorder="1" applyProtection="1">
      <protection locked="0"/>
    </xf>
    <xf numFmtId="167" fontId="0" fillId="0" borderId="6" xfId="0" applyNumberFormat="1" applyBorder="1" applyProtection="1">
      <protection locked="0"/>
    </xf>
    <xf numFmtId="167" fontId="12" fillId="0" borderId="6" xfId="0" applyNumberFormat="1" applyFont="1" applyBorder="1" applyProtection="1">
      <protection locked="0"/>
    </xf>
    <xf numFmtId="167" fontId="3" fillId="0" borderId="69" xfId="0" applyNumberFormat="1" applyFont="1" applyBorder="1" applyProtection="1">
      <protection locked="0"/>
    </xf>
    <xf numFmtId="171" fontId="21" fillId="0" borderId="6" xfId="2" applyNumberFormat="1" applyFont="1" applyFill="1" applyBorder="1" applyAlignment="1" applyProtection="1">
      <alignment horizontal="right"/>
      <protection locked="0"/>
    </xf>
    <xf numFmtId="167" fontId="11" fillId="0" borderId="38" xfId="1" applyNumberFormat="1" applyFont="1" applyFill="1" applyBorder="1" applyProtection="1">
      <protection locked="0"/>
    </xf>
    <xf numFmtId="167" fontId="14" fillId="0" borderId="9" xfId="1" applyNumberFormat="1" applyFont="1" applyFill="1" applyBorder="1" applyProtection="1">
      <protection locked="0"/>
    </xf>
    <xf numFmtId="167" fontId="14" fillId="0" borderId="16" xfId="1" applyNumberFormat="1" applyFont="1" applyFill="1" applyBorder="1" applyProtection="1">
      <protection locked="0"/>
    </xf>
    <xf numFmtId="167" fontId="6" fillId="0" borderId="6" xfId="1" applyNumberFormat="1" applyFont="1" applyFill="1" applyBorder="1" applyProtection="1">
      <protection locked="0"/>
    </xf>
    <xf numFmtId="167" fontId="1" fillId="0" borderId="67" xfId="1" applyNumberFormat="1" applyFont="1" applyFill="1" applyBorder="1" applyProtection="1">
      <protection locked="0"/>
    </xf>
    <xf numFmtId="168" fontId="13" fillId="2" borderId="6" xfId="2" applyNumberFormat="1" applyFont="1" applyFill="1" applyBorder="1" applyProtection="1">
      <protection locked="0"/>
    </xf>
    <xf numFmtId="172" fontId="3" fillId="0" borderId="0" xfId="0" applyNumberFormat="1" applyFont="1" applyProtection="1">
      <protection locked="0"/>
    </xf>
    <xf numFmtId="167" fontId="4" fillId="0" borderId="0" xfId="0" applyNumberFormat="1" applyFont="1"/>
    <xf numFmtId="43" fontId="11" fillId="0" borderId="0" xfId="1" applyFont="1" applyAlignment="1" applyProtection="1">
      <alignment horizontal="right"/>
      <protection locked="0"/>
    </xf>
    <xf numFmtId="39" fontId="12" fillId="0" borderId="0" xfId="0" applyNumberFormat="1" applyFont="1" applyProtection="1">
      <protection locked="0"/>
    </xf>
    <xf numFmtId="37" fontId="12" fillId="0" borderId="0" xfId="0" applyNumberFormat="1" applyFont="1" applyProtection="1">
      <protection locked="0"/>
    </xf>
    <xf numFmtId="183" fontId="3" fillId="0" borderId="70" xfId="0" applyNumberFormat="1" applyFont="1" applyBorder="1" applyProtection="1">
      <protection locked="0"/>
    </xf>
    <xf numFmtId="0" fontId="3" fillId="0" borderId="70" xfId="0" applyFont="1" applyBorder="1" applyProtection="1">
      <protection locked="0"/>
    </xf>
    <xf numFmtId="0" fontId="3" fillId="0" borderId="70" xfId="0" applyFont="1" applyBorder="1" applyAlignment="1" applyProtection="1">
      <alignment horizontal="right"/>
      <protection locked="0"/>
    </xf>
    <xf numFmtId="40" fontId="3" fillId="0" borderId="70" xfId="0" applyNumberFormat="1" applyFont="1" applyBorder="1" applyProtection="1">
      <protection locked="0"/>
    </xf>
    <xf numFmtId="9" fontId="3" fillId="0" borderId="70" xfId="2" applyFont="1" applyBorder="1" applyProtection="1">
      <protection locked="0"/>
    </xf>
    <xf numFmtId="0" fontId="3" fillId="2" borderId="57" xfId="0" applyFont="1" applyFill="1" applyBorder="1" applyAlignment="1" applyProtection="1">
      <alignment horizontal="right"/>
      <protection locked="0"/>
    </xf>
    <xf numFmtId="0" fontId="3" fillId="2" borderId="18" xfId="0" applyFont="1" applyFill="1" applyBorder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41" fillId="0" borderId="0" xfId="5"/>
    <xf numFmtId="182" fontId="1" fillId="0" borderId="0" xfId="1" applyNumberFormat="1" applyFont="1" applyFill="1" applyBorder="1" applyProtection="1">
      <protection locked="0"/>
    </xf>
    <xf numFmtId="0" fontId="3" fillId="0" borderId="0" xfId="0" applyFont="1"/>
    <xf numFmtId="0" fontId="20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169" fontId="13" fillId="2" borderId="0" xfId="1" applyNumberFormat="1" applyFont="1" applyFill="1" applyProtection="1"/>
    <xf numFmtId="9" fontId="13" fillId="2" borderId="0" xfId="2" applyFont="1" applyFill="1" applyProtection="1"/>
    <xf numFmtId="171" fontId="19" fillId="2" borderId="0" xfId="2" applyNumberFormat="1" applyFont="1" applyFill="1" applyBorder="1" applyProtection="1"/>
    <xf numFmtId="0" fontId="36" fillId="0" borderId="49" xfId="0" applyFont="1" applyBorder="1"/>
    <xf numFmtId="0" fontId="0" fillId="0" borderId="49" xfId="0" applyBorder="1"/>
    <xf numFmtId="0" fontId="38" fillId="2" borderId="49" xfId="1" applyNumberFormat="1" applyFont="1" applyFill="1" applyBorder="1" applyAlignment="1" applyProtection="1"/>
    <xf numFmtId="43" fontId="3" fillId="2" borderId="49" xfId="1" applyFont="1" applyFill="1" applyBorder="1" applyAlignment="1" applyProtection="1">
      <alignment horizontal="left" vertical="center"/>
    </xf>
    <xf numFmtId="43" fontId="6" fillId="2" borderId="49" xfId="1" applyFont="1" applyFill="1" applyBorder="1" applyAlignment="1" applyProtection="1">
      <alignment horizontal="left" vertical="center"/>
    </xf>
    <xf numFmtId="0" fontId="2" fillId="8" borderId="0" xfId="1" applyNumberFormat="1" applyFont="1" applyFill="1" applyBorder="1" applyAlignment="1" applyProtection="1">
      <alignment horizontal="centerContinuous"/>
      <protection locked="0"/>
    </xf>
    <xf numFmtId="166" fontId="2" fillId="8" borderId="5" xfId="1" applyNumberFormat="1" applyFont="1" applyFill="1" applyBorder="1" applyAlignment="1" applyProtection="1">
      <alignment horizontal="center"/>
      <protection locked="0"/>
    </xf>
    <xf numFmtId="0" fontId="0" fillId="0" borderId="75" xfId="0" applyBorder="1" applyProtection="1">
      <protection locked="0"/>
    </xf>
    <xf numFmtId="168" fontId="21" fillId="0" borderId="0" xfId="2" applyNumberFormat="1" applyFont="1" applyFill="1" applyBorder="1" applyAlignment="1" applyProtection="1">
      <alignment horizontal="right"/>
      <protection locked="0"/>
    </xf>
    <xf numFmtId="171" fontId="21" fillId="0" borderId="0" xfId="2" applyNumberFormat="1" applyFont="1" applyFill="1" applyBorder="1" applyAlignment="1" applyProtection="1">
      <alignment horizontal="right"/>
      <protection locked="0"/>
    </xf>
    <xf numFmtId="167" fontId="11" fillId="0" borderId="72" xfId="9" applyNumberFormat="1" applyFont="1" applyFill="1" applyBorder="1" applyProtection="1">
      <protection locked="0"/>
    </xf>
    <xf numFmtId="0" fontId="11" fillId="0" borderId="0" xfId="0" applyFont="1" applyProtection="1">
      <protection locked="0"/>
    </xf>
    <xf numFmtId="9" fontId="11" fillId="0" borderId="60" xfId="9" applyNumberFormat="1" applyFont="1" applyFill="1" applyBorder="1" applyProtection="1">
      <protection locked="0"/>
    </xf>
    <xf numFmtId="167" fontId="11" fillId="0" borderId="0" xfId="9" applyNumberFormat="1" applyFont="1" applyFill="1" applyBorder="1" applyProtection="1">
      <protection locked="0"/>
    </xf>
    <xf numFmtId="167" fontId="11" fillId="0" borderId="8" xfId="9" applyNumberFormat="1" applyFont="1" applyFill="1" applyBorder="1" applyProtection="1">
      <protection locked="0"/>
    </xf>
    <xf numFmtId="169" fontId="9" fillId="0" borderId="72" xfId="1" applyNumberFormat="1" applyFont="1" applyFill="1" applyBorder="1" applyProtection="1">
      <protection locked="0"/>
    </xf>
    <xf numFmtId="167" fontId="11" fillId="0" borderId="73" xfId="9" applyNumberFormat="1" applyFont="1" applyFill="1" applyBorder="1" applyProtection="1">
      <protection locked="0"/>
    </xf>
    <xf numFmtId="167" fontId="11" fillId="0" borderId="74" xfId="9" applyNumberFormat="1" applyFont="1" applyFill="1" applyBorder="1" applyProtection="1">
      <protection locked="0"/>
    </xf>
    <xf numFmtId="169" fontId="9" fillId="0" borderId="0" xfId="1" applyNumberFormat="1" applyFont="1" applyFill="1" applyBorder="1" applyProtection="1">
      <protection locked="0"/>
    </xf>
    <xf numFmtId="167" fontId="11" fillId="0" borderId="15" xfId="9" applyNumberFormat="1" applyFont="1" applyFill="1" applyBorder="1" applyProtection="1"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0" fillId="9" borderId="0" xfId="0" applyFill="1" applyProtection="1">
      <protection locked="0"/>
    </xf>
    <xf numFmtId="165" fontId="2" fillId="9" borderId="26" xfId="0" applyNumberFormat="1" applyFont="1" applyFill="1" applyBorder="1" applyAlignment="1" applyProtection="1">
      <alignment vertical="center"/>
      <protection locked="0"/>
    </xf>
    <xf numFmtId="165" fontId="2" fillId="9" borderId="76" xfId="0" applyNumberFormat="1" applyFont="1" applyFill="1" applyBorder="1" applyAlignment="1" applyProtection="1">
      <alignment vertical="center"/>
      <protection locked="0"/>
    </xf>
    <xf numFmtId="0" fontId="2" fillId="8" borderId="0" xfId="0" applyFont="1" applyFill="1" applyAlignment="1" applyProtection="1">
      <alignment horizontal="center"/>
      <protection locked="0"/>
    </xf>
    <xf numFmtId="166" fontId="2" fillId="8" borderId="26" xfId="1" applyNumberFormat="1" applyFont="1" applyFill="1" applyBorder="1" applyAlignment="1" applyProtection="1">
      <alignment horizontal="center"/>
      <protection locked="0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43" fontId="0" fillId="0" borderId="0" xfId="1" quotePrefix="1" applyFont="1" applyFill="1" applyAlignment="1" applyProtection="1">
      <alignment horizontal="left" indent="1"/>
    </xf>
    <xf numFmtId="43" fontId="0" fillId="0" borderId="0" xfId="1" applyFont="1" applyFill="1" applyAlignment="1" applyProtection="1">
      <alignment horizontal="left" indent="1"/>
    </xf>
    <xf numFmtId="43" fontId="0" fillId="0" borderId="0" xfId="1" applyFont="1" applyFill="1" applyAlignment="1" applyProtection="1">
      <alignment horizontal="left" indent="2"/>
    </xf>
    <xf numFmtId="43" fontId="0" fillId="0" borderId="0" xfId="1" applyFont="1" applyFill="1" applyAlignment="1" applyProtection="1">
      <alignment horizontal="left" indent="3"/>
    </xf>
    <xf numFmtId="0" fontId="3" fillId="0" borderId="8" xfId="1" applyNumberFormat="1" applyFont="1" applyFill="1" applyBorder="1" applyAlignment="1" applyProtection="1">
      <alignment horizontal="left"/>
    </xf>
    <xf numFmtId="43" fontId="3" fillId="0" borderId="8" xfId="1" applyFont="1" applyFill="1" applyBorder="1" applyAlignment="1" applyProtection="1">
      <alignment horizontal="left"/>
    </xf>
    <xf numFmtId="0" fontId="15" fillId="0" borderId="8" xfId="0" applyFont="1" applyBorder="1" applyAlignment="1">
      <alignment horizontal="center" vertical="center"/>
    </xf>
    <xf numFmtId="43" fontId="0" fillId="0" borderId="0" xfId="1" applyFont="1" applyFill="1" applyProtection="1"/>
    <xf numFmtId="0" fontId="3" fillId="0" borderId="8" xfId="1" applyNumberFormat="1" applyFont="1" applyFill="1" applyBorder="1" applyProtection="1"/>
    <xf numFmtId="43" fontId="3" fillId="0" borderId="8" xfId="1" applyFont="1" applyFill="1" applyBorder="1" applyProtection="1"/>
    <xf numFmtId="0" fontId="0" fillId="0" borderId="0" xfId="1" applyNumberFormat="1" applyFont="1" applyFill="1" applyAlignment="1" applyProtection="1"/>
    <xf numFmtId="43" fontId="0" fillId="0" borderId="17" xfId="1" applyFont="1" applyFill="1" applyBorder="1" applyAlignment="1" applyProtection="1">
      <alignment horizontal="left"/>
    </xf>
    <xf numFmtId="0" fontId="10" fillId="0" borderId="17" xfId="0" applyFont="1" applyBorder="1" applyAlignment="1">
      <alignment horizontal="center" vertical="center"/>
    </xf>
    <xf numFmtId="167" fontId="1" fillId="0" borderId="8" xfId="1" applyNumberFormat="1" applyFont="1" applyFill="1" applyBorder="1" applyProtection="1">
      <protection locked="0"/>
    </xf>
    <xf numFmtId="167" fontId="1" fillId="0" borderId="77" xfId="1" applyNumberFormat="1" applyFont="1" applyFill="1" applyBorder="1" applyProtection="1">
      <protection locked="0"/>
    </xf>
    <xf numFmtId="0" fontId="3" fillId="0" borderId="15" xfId="1" applyNumberFormat="1" applyFont="1" applyFill="1" applyBorder="1" applyAlignment="1" applyProtection="1">
      <alignment horizontal="left"/>
    </xf>
    <xf numFmtId="43" fontId="3" fillId="0" borderId="15" xfId="1" applyFont="1" applyFill="1" applyBorder="1" applyAlignment="1" applyProtection="1">
      <alignment horizontal="left"/>
    </xf>
    <xf numFmtId="0" fontId="15" fillId="0" borderId="15" xfId="0" applyFont="1" applyBorder="1" applyAlignment="1">
      <alignment horizontal="center" vertical="center"/>
    </xf>
    <xf numFmtId="0" fontId="17" fillId="3" borderId="0" xfId="0" applyFont="1" applyFill="1"/>
    <xf numFmtId="0" fontId="15" fillId="0" borderId="0" xfId="0" applyFont="1" applyAlignment="1">
      <alignment horizontal="center" vertical="center"/>
    </xf>
    <xf numFmtId="0" fontId="21" fillId="2" borderId="0" xfId="0" applyFont="1" applyFill="1" applyAlignment="1">
      <alignment horizontal="left" indent="1"/>
    </xf>
    <xf numFmtId="0" fontId="18" fillId="2" borderId="0" xfId="0" applyFont="1" applyFill="1" applyAlignment="1">
      <alignment horizontal="center" vertical="center"/>
    </xf>
    <xf numFmtId="167" fontId="0" fillId="0" borderId="0" xfId="1" applyNumberFormat="1" applyFont="1" applyFill="1" applyBorder="1" applyProtection="1">
      <protection locked="0"/>
    </xf>
    <xf numFmtId="168" fontId="13" fillId="2" borderId="0" xfId="2" applyNumberFormat="1" applyFont="1" applyFill="1" applyBorder="1" applyProtection="1">
      <protection locked="0"/>
    </xf>
    <xf numFmtId="167" fontId="1" fillId="0" borderId="0" xfId="1" applyNumberFormat="1" applyFont="1" applyFill="1" applyBorder="1" applyProtection="1">
      <protection locked="0"/>
    </xf>
    <xf numFmtId="167" fontId="6" fillId="0" borderId="0" xfId="1" applyNumberFormat="1" applyFont="1" applyFill="1" applyBorder="1" applyProtection="1">
      <protection locked="0"/>
    </xf>
    <xf numFmtId="0" fontId="9" fillId="0" borderId="6" xfId="1" applyNumberFormat="1" applyFont="1" applyFill="1" applyBorder="1" applyAlignment="1" applyProtection="1">
      <alignment horizontal="center"/>
      <protection locked="0"/>
    </xf>
    <xf numFmtId="179" fontId="0" fillId="0" borderId="0" xfId="0" applyNumberFormat="1"/>
    <xf numFmtId="167" fontId="20" fillId="0" borderId="0" xfId="1" applyNumberFormat="1" applyFont="1" applyFill="1" applyBorder="1" applyProtection="1">
      <protection locked="0"/>
    </xf>
    <xf numFmtId="167" fontId="3" fillId="0" borderId="78" xfId="1" applyNumberFormat="1" applyFont="1" applyFill="1" applyBorder="1" applyProtection="1">
      <protection locked="0"/>
    </xf>
    <xf numFmtId="43" fontId="0" fillId="0" borderId="0" xfId="1" applyFont="1" applyFill="1" applyAlignment="1" applyProtection="1">
      <alignment horizontal="left"/>
    </xf>
    <xf numFmtId="0" fontId="0" fillId="0" borderId="17" xfId="0" applyBorder="1" applyAlignment="1" applyProtection="1">
      <alignment horizontal="left"/>
      <protection locked="0"/>
    </xf>
    <xf numFmtId="0" fontId="0" fillId="0" borderId="17" xfId="0" applyBorder="1" applyProtection="1">
      <protection locked="0"/>
    </xf>
    <xf numFmtId="43" fontId="3" fillId="2" borderId="79" xfId="1" applyFont="1" applyFill="1" applyBorder="1" applyAlignment="1" applyProtection="1">
      <alignment horizontal="left" vertical="center"/>
      <protection locked="0"/>
    </xf>
    <xf numFmtId="43" fontId="13" fillId="2" borderId="79" xfId="1" applyFont="1" applyFill="1" applyBorder="1" applyAlignment="1" applyProtection="1">
      <alignment horizontal="left" vertical="center"/>
      <protection locked="0"/>
    </xf>
    <xf numFmtId="43" fontId="6" fillId="2" borderId="79" xfId="1" applyFont="1" applyFill="1" applyBorder="1" applyAlignment="1" applyProtection="1">
      <alignment horizontal="left" vertical="center"/>
      <protection locked="0"/>
    </xf>
    <xf numFmtId="0" fontId="0" fillId="0" borderId="79" xfId="0" applyBorder="1" applyProtection="1">
      <protection locked="0"/>
    </xf>
    <xf numFmtId="0" fontId="5" fillId="2" borderId="79" xfId="1" applyNumberFormat="1" applyFont="1" applyFill="1" applyBorder="1" applyAlignment="1" applyProtection="1">
      <protection locked="0"/>
    </xf>
    <xf numFmtId="0" fontId="0" fillId="9" borderId="2" xfId="0" applyFill="1" applyBorder="1" applyProtection="1">
      <protection locked="0"/>
    </xf>
    <xf numFmtId="0" fontId="2" fillId="8" borderId="20" xfId="1" applyNumberFormat="1" applyFont="1" applyFill="1" applyBorder="1" applyAlignment="1" applyProtection="1">
      <alignment horizontal="centerContinuous"/>
      <protection locked="0"/>
    </xf>
    <xf numFmtId="0" fontId="0" fillId="8" borderId="0" xfId="0" applyFill="1" applyProtection="1">
      <protection locked="0"/>
    </xf>
    <xf numFmtId="0" fontId="32" fillId="8" borderId="0" xfId="3" applyFont="1" applyFill="1" applyAlignment="1" applyProtection="1">
      <alignment horizontal="centerContinuous"/>
      <protection locked="0"/>
    </xf>
    <xf numFmtId="0" fontId="9" fillId="8" borderId="0" xfId="3" applyFont="1" applyFill="1" applyAlignment="1" applyProtection="1">
      <alignment horizontal="centerContinuous"/>
      <protection locked="0"/>
    </xf>
    <xf numFmtId="0" fontId="14" fillId="8" borderId="0" xfId="3" applyFont="1" applyFill="1" applyAlignment="1" applyProtection="1">
      <alignment horizontal="centerContinuous"/>
      <protection locked="0"/>
    </xf>
    <xf numFmtId="39" fontId="32" fillId="8" borderId="0" xfId="3" applyNumberFormat="1" applyFont="1" applyFill="1" applyProtection="1">
      <protection locked="0"/>
    </xf>
    <xf numFmtId="0" fontId="2" fillId="8" borderId="0" xfId="0" applyFont="1" applyFill="1" applyProtection="1">
      <protection locked="0"/>
    </xf>
    <xf numFmtId="0" fontId="4" fillId="8" borderId="0" xfId="0" applyFont="1" applyFill="1" applyAlignment="1" applyProtection="1">
      <alignment horizontal="right"/>
      <protection locked="0"/>
    </xf>
    <xf numFmtId="166" fontId="2" fillId="8" borderId="28" xfId="1" applyNumberFormat="1" applyFont="1" applyFill="1" applyBorder="1" applyAlignment="1" applyProtection="1">
      <alignment horizontal="center"/>
      <protection locked="0"/>
    </xf>
    <xf numFmtId="166" fontId="2" fillId="8" borderId="29" xfId="1" applyNumberFormat="1" applyFont="1" applyFill="1" applyBorder="1" applyAlignment="1" applyProtection="1">
      <alignment horizontal="center"/>
      <protection locked="0"/>
    </xf>
    <xf numFmtId="0" fontId="2" fillId="8" borderId="0" xfId="0" applyFont="1" applyFill="1" applyAlignment="1" applyProtection="1">
      <alignment horizontal="center" vertical="center"/>
      <protection locked="0"/>
    </xf>
    <xf numFmtId="0" fontId="2" fillId="8" borderId="0" xfId="0" applyFont="1" applyFill="1" applyAlignment="1" applyProtection="1">
      <alignment horizontal="centerContinuous"/>
      <protection locked="0"/>
    </xf>
    <xf numFmtId="0" fontId="2" fillId="8" borderId="0" xfId="0" applyFont="1" applyFill="1" applyAlignment="1" applyProtection="1">
      <alignment horizontal="centerContinuous" vertical="center"/>
      <protection locked="0"/>
    </xf>
    <xf numFmtId="0" fontId="2" fillId="8" borderId="30" xfId="0" applyFont="1" applyFill="1" applyBorder="1" applyAlignment="1" applyProtection="1">
      <alignment horizontal="left"/>
      <protection locked="0"/>
    </xf>
    <xf numFmtId="0" fontId="2" fillId="8" borderId="30" xfId="0" applyFont="1" applyFill="1" applyBorder="1" applyAlignment="1" applyProtection="1">
      <alignment horizontal="center" vertical="center"/>
      <protection locked="0"/>
    </xf>
    <xf numFmtId="0" fontId="2" fillId="8" borderId="31" xfId="0" applyFont="1" applyFill="1" applyBorder="1" applyAlignment="1" applyProtection="1">
      <alignment horizontal="center" vertical="center"/>
      <protection locked="0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5" fontId="2" fillId="9" borderId="27" xfId="1" applyNumberFormat="1" applyFont="1" applyFill="1" applyBorder="1" applyAlignment="1" applyProtection="1">
      <alignment horizontal="center"/>
      <protection locked="0"/>
    </xf>
    <xf numFmtId="0" fontId="4" fillId="9" borderId="0" xfId="0" applyFont="1" applyFill="1" applyProtection="1">
      <protection locked="0"/>
    </xf>
    <xf numFmtId="0" fontId="2" fillId="9" borderId="1" xfId="0" applyFont="1" applyFill="1" applyBorder="1" applyAlignment="1" applyProtection="1">
      <alignment horizontal="centerContinuous" wrapText="1"/>
      <protection locked="0"/>
    </xf>
    <xf numFmtId="0" fontId="2" fillId="9" borderId="0" xfId="0" applyFont="1" applyFill="1" applyAlignment="1" applyProtection="1">
      <alignment horizontal="centerContinuous" wrapText="1"/>
      <protection locked="0"/>
    </xf>
    <xf numFmtId="165" fontId="2" fillId="9" borderId="3" xfId="1" applyNumberFormat="1" applyFont="1" applyFill="1" applyBorder="1" applyAlignment="1" applyProtection="1">
      <alignment horizontal="center"/>
      <protection locked="0"/>
    </xf>
    <xf numFmtId="165" fontId="2" fillId="9" borderId="4" xfId="1" applyNumberFormat="1" applyFont="1" applyFill="1" applyBorder="1" applyAlignment="1" applyProtection="1">
      <alignment horizontal="center"/>
      <protection locked="0"/>
    </xf>
    <xf numFmtId="0" fontId="2" fillId="8" borderId="10" xfId="0" applyFont="1" applyFill="1" applyBorder="1" applyAlignment="1" applyProtection="1">
      <alignment horizontal="left" vertical="center"/>
      <protection locked="0"/>
    </xf>
    <xf numFmtId="0" fontId="2" fillId="8" borderId="8" xfId="0" applyFont="1" applyFill="1" applyBorder="1" applyAlignment="1" applyProtection="1">
      <alignment horizontal="center" vertical="center" wrapText="1"/>
      <protection locked="0"/>
    </xf>
    <xf numFmtId="0" fontId="2" fillId="8" borderId="9" xfId="0" applyFont="1" applyFill="1" applyBorder="1" applyAlignment="1" applyProtection="1">
      <alignment horizontal="center" vertical="center" wrapText="1"/>
      <protection locked="0"/>
    </xf>
    <xf numFmtId="177" fontId="0" fillId="4" borderId="32" xfId="0" applyNumberFormat="1" applyFill="1" applyBorder="1" applyAlignment="1" applyProtection="1">
      <alignment horizontal="right" indent="2"/>
      <protection locked="0"/>
    </xf>
    <xf numFmtId="0" fontId="2" fillId="8" borderId="6" xfId="0" applyFont="1" applyFill="1" applyBorder="1" applyAlignment="1" applyProtection="1">
      <alignment horizontal="centerContinuous"/>
      <protection locked="0"/>
    </xf>
    <xf numFmtId="166" fontId="2" fillId="8" borderId="80" xfId="0" applyNumberFormat="1" applyFont="1" applyFill="1" applyBorder="1" applyAlignment="1" applyProtection="1">
      <alignment horizontal="center" vertical="center"/>
      <protection locked="0"/>
    </xf>
    <xf numFmtId="176" fontId="0" fillId="4" borderId="81" xfId="0" applyNumberFormat="1" applyFill="1" applyBorder="1" applyAlignment="1" applyProtection="1">
      <alignment horizontal="right" indent="2"/>
      <protection locked="0"/>
    </xf>
    <xf numFmtId="0" fontId="2" fillId="8" borderId="0" xfId="0" applyFont="1" applyFill="1" applyAlignment="1" applyProtection="1">
      <alignment horizontal="right"/>
      <protection locked="0"/>
    </xf>
    <xf numFmtId="167" fontId="2" fillId="8" borderId="0" xfId="0" applyNumberFormat="1" applyFont="1" applyFill="1" applyAlignment="1" applyProtection="1">
      <alignment horizontal="right"/>
      <protection locked="0"/>
    </xf>
    <xf numFmtId="171" fontId="1" fillId="0" borderId="0" xfId="2" applyNumberFormat="1" applyFont="1" applyFill="1" applyBorder="1" applyProtection="1">
      <protection locked="0"/>
    </xf>
    <xf numFmtId="171" fontId="1" fillId="0" borderId="14" xfId="2" applyNumberFormat="1" applyFont="1" applyFill="1" applyBorder="1" applyProtection="1">
      <protection locked="0"/>
    </xf>
    <xf numFmtId="182" fontId="1" fillId="0" borderId="14" xfId="1" applyNumberFormat="1" applyFont="1" applyFill="1" applyBorder="1" applyProtection="1">
      <protection locked="0"/>
    </xf>
    <xf numFmtId="0" fontId="34" fillId="0" borderId="0" xfId="0" applyFont="1" applyProtection="1">
      <protection locked="0"/>
    </xf>
    <xf numFmtId="171" fontId="1" fillId="0" borderId="82" xfId="2" applyNumberFormat="1" applyFont="1" applyFill="1" applyBorder="1" applyProtection="1">
      <protection locked="0"/>
    </xf>
    <xf numFmtId="182" fontId="1" fillId="0" borderId="82" xfId="1" applyNumberFormat="1" applyFont="1" applyFill="1" applyBorder="1" applyProtection="1">
      <protection locked="0"/>
    </xf>
    <xf numFmtId="0" fontId="2" fillId="9" borderId="6" xfId="0" applyFont="1" applyFill="1" applyBorder="1" applyAlignment="1" applyProtection="1">
      <alignment horizontal="centerContinuous" wrapText="1"/>
      <protection locked="0"/>
    </xf>
    <xf numFmtId="165" fontId="2" fillId="9" borderId="83" xfId="1" applyNumberFormat="1" applyFont="1" applyFill="1" applyBorder="1" applyAlignment="1" applyProtection="1">
      <alignment horizontal="center"/>
      <protection locked="0"/>
    </xf>
    <xf numFmtId="178" fontId="0" fillId="0" borderId="6" xfId="0" applyNumberFormat="1" applyBorder="1" applyProtection="1">
      <protection locked="0"/>
    </xf>
    <xf numFmtId="182" fontId="1" fillId="0" borderId="6" xfId="1" applyNumberFormat="1" applyFont="1" applyFill="1" applyBorder="1" applyProtection="1">
      <protection locked="0"/>
    </xf>
    <xf numFmtId="0" fontId="47" fillId="7" borderId="71" xfId="9" applyBorder="1" applyAlignment="1" applyProtection="1">
      <alignment horizontal="center"/>
      <protection locked="0"/>
    </xf>
    <xf numFmtId="182" fontId="47" fillId="7" borderId="14" xfId="9" applyNumberFormat="1" applyBorder="1" applyProtection="1">
      <protection locked="0"/>
    </xf>
    <xf numFmtId="167" fontId="47" fillId="7" borderId="35" xfId="9" applyNumberFormat="1" applyBorder="1" applyProtection="1">
      <protection locked="0"/>
    </xf>
    <xf numFmtId="171" fontId="3" fillId="0" borderId="0" xfId="2" applyNumberFormat="1" applyFont="1" applyFill="1" applyBorder="1" applyProtection="1">
      <protection locked="0"/>
    </xf>
    <xf numFmtId="171" fontId="3" fillId="0" borderId="15" xfId="2" applyNumberFormat="1" applyFont="1" applyFill="1" applyBorder="1" applyProtection="1">
      <protection locked="0"/>
    </xf>
    <xf numFmtId="169" fontId="3" fillId="0" borderId="62" xfId="2" applyNumberFormat="1" applyFont="1" applyFill="1" applyBorder="1" applyProtection="1">
      <protection locked="0"/>
    </xf>
    <xf numFmtId="2" fontId="3" fillId="0" borderId="0" xfId="2" applyNumberFormat="1" applyFont="1" applyFill="1" applyBorder="1" applyProtection="1">
      <protection locked="0"/>
    </xf>
    <xf numFmtId="169" fontId="3" fillId="0" borderId="64" xfId="2" applyNumberFormat="1" applyFont="1" applyFill="1" applyBorder="1" applyProtection="1">
      <protection locked="0"/>
    </xf>
    <xf numFmtId="2" fontId="1" fillId="0" borderId="0" xfId="2" applyNumberFormat="1" applyFont="1" applyFill="1" applyBorder="1" applyProtection="1">
      <protection locked="0"/>
    </xf>
    <xf numFmtId="174" fontId="1" fillId="0" borderId="0" xfId="2" applyNumberFormat="1" applyFont="1" applyFill="1" applyBorder="1" applyProtection="1">
      <protection locked="0"/>
    </xf>
    <xf numFmtId="0" fontId="48" fillId="0" borderId="0" xfId="5" applyFont="1" applyAlignment="1"/>
    <xf numFmtId="0" fontId="48" fillId="0" borderId="0" xfId="5" applyFont="1" applyAlignment="1">
      <alignment vertical="center"/>
    </xf>
    <xf numFmtId="0" fontId="1" fillId="0" borderId="0" xfId="0" applyFont="1" applyProtection="1">
      <protection locked="0"/>
    </xf>
    <xf numFmtId="0" fontId="49" fillId="0" borderId="0" xfId="5" applyFont="1"/>
    <xf numFmtId="167" fontId="1" fillId="0" borderId="0" xfId="2" applyNumberFormat="1" applyFont="1" applyFill="1" applyBorder="1" applyProtection="1">
      <protection locked="0"/>
    </xf>
    <xf numFmtId="167" fontId="1" fillId="0" borderId="8" xfId="2" applyNumberFormat="1" applyFont="1" applyFill="1" applyBorder="1" applyProtection="1">
      <protection locked="0"/>
    </xf>
    <xf numFmtId="2" fontId="1" fillId="0" borderId="8" xfId="2" applyNumberFormat="1" applyFont="1" applyFill="1" applyBorder="1" applyProtection="1">
      <protection locked="0"/>
    </xf>
    <xf numFmtId="171" fontId="3" fillId="0" borderId="84" xfId="2" applyNumberFormat="1" applyFont="1" applyFill="1" applyBorder="1" applyProtection="1">
      <protection locked="0"/>
    </xf>
    <xf numFmtId="0" fontId="23" fillId="2" borderId="0" xfId="0" applyFont="1" applyFill="1" applyAlignment="1" applyProtection="1">
      <alignment vertical="center"/>
      <protection locked="0"/>
    </xf>
    <xf numFmtId="9" fontId="47" fillId="7" borderId="45" xfId="9" applyNumberFormat="1" applyBorder="1"/>
    <xf numFmtId="169" fontId="45" fillId="5" borderId="14" xfId="7" applyNumberFormat="1" applyBorder="1" applyAlignment="1">
      <alignment horizontal="center"/>
    </xf>
    <xf numFmtId="169" fontId="46" fillId="6" borderId="14" xfId="8" applyNumberFormat="1" applyBorder="1" applyAlignment="1">
      <alignment horizontal="center"/>
    </xf>
    <xf numFmtId="182" fontId="50" fillId="7" borderId="14" xfId="9" applyNumberFormat="1" applyFont="1" applyBorder="1" applyProtection="1">
      <protection locked="0"/>
    </xf>
    <xf numFmtId="0" fontId="47" fillId="7" borderId="24" xfId="9" applyBorder="1" applyAlignment="1" applyProtection="1">
      <alignment horizontal="center" wrapText="1"/>
      <protection locked="0"/>
    </xf>
    <xf numFmtId="0" fontId="47" fillId="7" borderId="0" xfId="9" applyBorder="1" applyAlignment="1" applyProtection="1">
      <alignment horizontal="center" wrapText="1"/>
      <protection locked="0"/>
    </xf>
    <xf numFmtId="0" fontId="40" fillId="8" borderId="23" xfId="0" applyFont="1" applyFill="1" applyBorder="1" applyAlignment="1" applyProtection="1">
      <alignment horizontal="center" vertical="center" wrapText="1"/>
      <protection locked="0"/>
    </xf>
    <xf numFmtId="0" fontId="40" fillId="8" borderId="24" xfId="0" applyFont="1" applyFill="1" applyBorder="1" applyAlignment="1" applyProtection="1">
      <alignment horizontal="center" vertical="center" wrapText="1"/>
      <protection locked="0"/>
    </xf>
    <xf numFmtId="0" fontId="40" fillId="8" borderId="50" xfId="0" applyFont="1" applyFill="1" applyBorder="1" applyAlignment="1" applyProtection="1">
      <alignment horizontal="center" vertical="center" wrapText="1"/>
      <protection locked="0"/>
    </xf>
    <xf numFmtId="0" fontId="40" fillId="8" borderId="25" xfId="0" applyFont="1" applyFill="1" applyBorder="1" applyAlignment="1" applyProtection="1">
      <alignment horizontal="center" vertical="center" wrapText="1"/>
      <protection locked="0"/>
    </xf>
    <xf numFmtId="0" fontId="40" fillId="8" borderId="0" xfId="0" applyFont="1" applyFill="1" applyAlignment="1" applyProtection="1">
      <alignment horizontal="center" vertical="center" wrapText="1"/>
      <protection locked="0"/>
    </xf>
    <xf numFmtId="0" fontId="40" fillId="8" borderId="51" xfId="0" applyFont="1" applyFill="1" applyBorder="1" applyAlignment="1" applyProtection="1">
      <alignment horizontal="center" vertical="center" wrapText="1"/>
      <protection locked="0"/>
    </xf>
    <xf numFmtId="0" fontId="40" fillId="8" borderId="52" xfId="0" applyFont="1" applyFill="1" applyBorder="1" applyAlignment="1" applyProtection="1">
      <alignment horizontal="center" vertical="center" wrapText="1"/>
      <protection locked="0"/>
    </xf>
    <xf numFmtId="0" fontId="40" fillId="8" borderId="54" xfId="0" applyFont="1" applyFill="1" applyBorder="1" applyAlignment="1" applyProtection="1">
      <alignment horizontal="center" vertical="center" wrapText="1"/>
      <protection locked="0"/>
    </xf>
    <xf numFmtId="0" fontId="40" fillId="8" borderId="53" xfId="0" applyFont="1" applyFill="1" applyBorder="1" applyAlignment="1" applyProtection="1">
      <alignment horizontal="center" vertical="center" wrapText="1"/>
      <protection locked="0"/>
    </xf>
    <xf numFmtId="0" fontId="47" fillId="7" borderId="23" xfId="9" applyBorder="1" applyAlignment="1" applyProtection="1">
      <alignment horizontal="center" wrapText="1"/>
      <protection locked="0"/>
    </xf>
    <xf numFmtId="0" fontId="47" fillId="7" borderId="50" xfId="9" applyBorder="1" applyAlignment="1" applyProtection="1">
      <alignment horizontal="center" wrapText="1"/>
      <protection locked="0"/>
    </xf>
    <xf numFmtId="0" fontId="47" fillId="7" borderId="52" xfId="9" applyBorder="1" applyAlignment="1" applyProtection="1">
      <alignment horizontal="center" wrapText="1"/>
      <protection locked="0"/>
    </xf>
    <xf numFmtId="0" fontId="47" fillId="7" borderId="54" xfId="9" applyBorder="1" applyAlignment="1" applyProtection="1">
      <alignment horizontal="center" wrapText="1"/>
      <protection locked="0"/>
    </xf>
    <xf numFmtId="0" fontId="47" fillId="7" borderId="53" xfId="9" applyBorder="1" applyAlignment="1" applyProtection="1">
      <alignment horizontal="center" wrapText="1"/>
      <protection locked="0"/>
    </xf>
    <xf numFmtId="0" fontId="9" fillId="8" borderId="0" xfId="3" applyFont="1" applyFill="1" applyAlignment="1" applyProtection="1">
      <alignment horizontal="center" vertical="center" textRotation="90" wrapText="1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0" fontId="2" fillId="9" borderId="6" xfId="0" applyFont="1" applyFill="1" applyBorder="1" applyAlignment="1" applyProtection="1">
      <alignment horizontal="center" vertical="center"/>
      <protection locked="0"/>
    </xf>
    <xf numFmtId="0" fontId="0" fillId="2" borderId="10" xfId="4" applyFont="1" applyFill="1" applyBorder="1" applyAlignment="1">
      <alignment horizontal="left" vertical="top" wrapText="1"/>
    </xf>
    <xf numFmtId="0" fontId="0" fillId="2" borderId="8" xfId="4" applyFont="1" applyFill="1" applyBorder="1" applyAlignment="1">
      <alignment horizontal="left" vertical="top" wrapText="1"/>
    </xf>
    <xf numFmtId="0" fontId="0" fillId="2" borderId="9" xfId="4" applyFont="1" applyFill="1" applyBorder="1" applyAlignment="1">
      <alignment horizontal="left" vertical="top" wrapText="1"/>
    </xf>
    <xf numFmtId="0" fontId="0" fillId="2" borderId="36" xfId="4" applyFont="1" applyFill="1" applyBorder="1" applyAlignment="1">
      <alignment horizontal="left" vertical="top" wrapText="1"/>
    </xf>
    <xf numFmtId="0" fontId="0" fillId="2" borderId="0" xfId="4" applyFont="1" applyFill="1" applyAlignment="1">
      <alignment horizontal="left" vertical="top" wrapText="1"/>
    </xf>
    <xf numFmtId="0" fontId="0" fillId="2" borderId="6" xfId="4" applyFont="1" applyFill="1" applyBorder="1" applyAlignment="1">
      <alignment horizontal="left" vertical="top" wrapText="1"/>
    </xf>
    <xf numFmtId="0" fontId="0" fillId="2" borderId="37" xfId="4" applyFont="1" applyFill="1" applyBorder="1" applyAlignment="1">
      <alignment horizontal="left" vertical="top" wrapText="1"/>
    </xf>
    <xf numFmtId="0" fontId="0" fillId="2" borderId="38" xfId="4" applyFont="1" applyFill="1" applyBorder="1" applyAlignment="1">
      <alignment horizontal="left" vertical="top" wrapText="1"/>
    </xf>
    <xf numFmtId="0" fontId="0" fillId="2" borderId="39" xfId="4" applyFont="1" applyFill="1" applyBorder="1" applyAlignment="1">
      <alignment horizontal="left" vertical="top" wrapText="1"/>
    </xf>
    <xf numFmtId="0" fontId="1" fillId="2" borderId="0" xfId="4" applyFill="1" applyAlignment="1">
      <alignment horizontal="left" wrapText="1"/>
    </xf>
    <xf numFmtId="0" fontId="1" fillId="2" borderId="47" xfId="4" applyFill="1" applyBorder="1" applyAlignment="1">
      <alignment horizontal="left" wrapText="1"/>
    </xf>
    <xf numFmtId="0" fontId="47" fillId="7" borderId="23" xfId="9" applyBorder="1" applyAlignment="1" applyProtection="1">
      <alignment horizontal="center"/>
      <protection locked="0"/>
    </xf>
    <xf numFmtId="0" fontId="47" fillId="7" borderId="24" xfId="9" applyBorder="1" applyAlignment="1" applyProtection="1">
      <alignment horizontal="center"/>
      <protection locked="0"/>
    </xf>
    <xf numFmtId="0" fontId="47" fillId="7" borderId="50" xfId="9" applyBorder="1" applyAlignment="1" applyProtection="1">
      <alignment horizontal="center"/>
      <protection locked="0"/>
    </xf>
    <xf numFmtId="0" fontId="47" fillId="7" borderId="52" xfId="9" applyBorder="1" applyAlignment="1" applyProtection="1">
      <alignment horizontal="center"/>
      <protection locked="0"/>
    </xf>
    <xf numFmtId="0" fontId="47" fillId="7" borderId="54" xfId="9" applyBorder="1" applyAlignment="1" applyProtection="1">
      <alignment horizontal="center"/>
      <protection locked="0"/>
    </xf>
    <xf numFmtId="0" fontId="47" fillId="7" borderId="53" xfId="9" applyBorder="1" applyAlignment="1" applyProtection="1">
      <alignment horizontal="center"/>
      <protection locked="0"/>
    </xf>
    <xf numFmtId="0" fontId="47" fillId="7" borderId="25" xfId="9" applyBorder="1" applyAlignment="1" applyProtection="1">
      <alignment horizontal="center" wrapText="1"/>
      <protection locked="0"/>
    </xf>
    <xf numFmtId="0" fontId="47" fillId="7" borderId="51" xfId="9" applyBorder="1" applyAlignment="1" applyProtection="1">
      <alignment horizontal="center" wrapText="1"/>
      <protection locked="0"/>
    </xf>
  </cellXfs>
  <cellStyles count="10">
    <cellStyle name="Bad" xfId="8" builtinId="27"/>
    <cellStyle name="Comma" xfId="1" builtinId="3"/>
    <cellStyle name="Comma 2" xfId="6" xr:uid="{A85E4D6A-0C9C-4680-8522-4D74ED75234D}"/>
    <cellStyle name="Good" xfId="7" builtinId="26"/>
    <cellStyle name="Hyperlink" xfId="5" builtinId="8"/>
    <cellStyle name="Neutral" xfId="9" builtinId="28"/>
    <cellStyle name="Normal" xfId="0" builtinId="0"/>
    <cellStyle name="Normal 2" xfId="3" xr:uid="{97E5E353-1765-4BD5-8290-4BB09BAF5ADF}"/>
    <cellStyle name="Normal 2 2" xfId="4" xr:uid="{D674D7F6-0F2E-45DF-83C4-2D3526887A9A}"/>
    <cellStyle name="Percent" xfId="2" builtinId="5"/>
  </cellStyles>
  <dxfs count="46"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5"/>
      </font>
      <fill>
        <patternFill>
          <bgColor theme="4"/>
        </patternFill>
      </fill>
    </dxf>
    <dxf>
      <font>
        <color theme="7"/>
      </font>
      <fill>
        <patternFill>
          <bgColor theme="6"/>
        </patternFill>
      </fill>
    </dxf>
    <dxf>
      <font>
        <color theme="2"/>
      </font>
      <fill>
        <patternFill>
          <bgColor theme="3"/>
        </patternFill>
      </fill>
    </dxf>
    <dxf>
      <font>
        <color theme="5"/>
      </font>
      <fill>
        <patternFill>
          <bgColor theme="4"/>
        </patternFill>
      </fill>
    </dxf>
    <dxf>
      <font>
        <color theme="7"/>
      </font>
      <fill>
        <patternFill>
          <bgColor theme="6"/>
        </patternFill>
      </fill>
    </dxf>
    <dxf>
      <font>
        <color theme="2"/>
      </font>
      <fill>
        <patternFill>
          <bgColor theme="3"/>
        </patternFill>
      </fill>
    </dxf>
    <dxf>
      <font>
        <color theme="2"/>
      </font>
      <fill>
        <patternFill>
          <bgColor theme="3"/>
        </patternFill>
      </fill>
    </dxf>
    <dxf>
      <font>
        <color theme="5"/>
      </font>
      <fill>
        <patternFill>
          <bgColor theme="4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7"/>
      </font>
      <fill>
        <patternFill>
          <bgColor theme="6"/>
        </patternFill>
      </fill>
    </dxf>
    <dxf>
      <font>
        <color theme="2"/>
      </font>
      <fill>
        <patternFill>
          <bgColor theme="3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color theme="2"/>
      </font>
      <fill>
        <patternFill>
          <bgColor theme="3"/>
        </patternFill>
      </fill>
    </dxf>
    <dxf>
      <font>
        <color theme="7"/>
      </font>
      <fill>
        <patternFill>
          <bgColor theme="6"/>
        </patternFill>
      </fill>
    </dxf>
    <dxf>
      <font>
        <color theme="5"/>
      </font>
      <fill>
        <patternFill>
          <bgColor theme="4"/>
        </patternFill>
      </fill>
    </dxf>
    <dxf>
      <font>
        <b/>
        <i val="0"/>
      </font>
      <fill>
        <patternFill>
          <bgColor rgb="FFE3B5B5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</font>
      <fill>
        <patternFill>
          <bgColor theme="7" tint="0.59996337778862885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0" defaultTableStyle="TableStyleMedium2" defaultPivotStyle="PivotStyleLight16"/>
  <colors>
    <mruColors>
      <color rgb="FF2850A0"/>
      <color rgb="FFFFCCCC"/>
      <color rgb="FFFFFFCC"/>
      <color rgb="FFFFDDDD"/>
      <color rgb="FFFFB3B3"/>
      <color rgb="FFFF6161"/>
      <color rgb="FFF7B5A1"/>
      <color rgb="FFF4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1</xdr:rowOff>
    </xdr:from>
    <xdr:to>
      <xdr:col>3</xdr:col>
      <xdr:colOff>321469</xdr:colOff>
      <xdr:row>5</xdr:row>
      <xdr:rowOff>50032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60E9B5-68E3-2699-4181-3876CAE6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469" y="571501"/>
          <a:ext cx="2488406" cy="550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Custom 4">
      <a:dk1>
        <a:srgbClr val="000000"/>
      </a:dk1>
      <a:lt1>
        <a:srgbClr val="FFFFFF"/>
      </a:lt1>
      <a:dk2>
        <a:srgbClr val="FFEB9C"/>
      </a:dk2>
      <a:lt2>
        <a:srgbClr val="9C6500"/>
      </a:lt2>
      <a:accent1>
        <a:srgbClr val="FFC7CE"/>
      </a:accent1>
      <a:accent2>
        <a:srgbClr val="9C0006"/>
      </a:accent2>
      <a:accent3>
        <a:srgbClr val="C6EFCE"/>
      </a:accent3>
      <a:accent4>
        <a:srgbClr val="0D6711"/>
      </a:accent4>
      <a:accent5>
        <a:srgbClr val="4285F4"/>
      </a:accent5>
      <a:accent6>
        <a:srgbClr val="FBBC04"/>
      </a:accent6>
      <a:hlink>
        <a:srgbClr val="EA4335"/>
      </a:hlink>
      <a:folHlink>
        <a:srgbClr val="7030A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mplifyme.com/path-player?courseid=explore-banking&amp;unit=677bc877b6da69b83407bba5Unit" TargetMode="External"/><Relationship Id="rId2" Type="http://schemas.openxmlformats.org/officeDocument/2006/relationships/hyperlink" Target="https://youtu.be/nU_HilBSWT8" TargetMode="External"/><Relationship Id="rId1" Type="http://schemas.openxmlformats.org/officeDocument/2006/relationships/hyperlink" Target="https://youtu.be/WxoGiOQlQK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mplifyme.com/path-player?courseid=explore-banking&amp;unit=677bc877b6da69b83407bba5Unit" TargetMode="External"/><Relationship Id="rId2" Type="http://schemas.openxmlformats.org/officeDocument/2006/relationships/hyperlink" Target="https://youtu.be/nU_HilBSWT8" TargetMode="External"/><Relationship Id="rId1" Type="http://schemas.openxmlformats.org/officeDocument/2006/relationships/hyperlink" Target="https://youtu.be/WxoGiOQlQ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DB0E-BBE9-4CFE-B6E1-F1809739DF2A}">
  <dimension ref="B1:XE1000"/>
  <sheetViews>
    <sheetView zoomScale="80" zoomScaleNormal="115" workbookViewId="0"/>
  </sheetViews>
  <sheetFormatPr defaultColWidth="12" defaultRowHeight="15" x14ac:dyDescent="0.25"/>
  <cols>
    <col min="1" max="1" width="4.28515625" style="172" customWidth="1"/>
    <col min="2" max="2" width="12" style="172"/>
    <col min="3" max="3" width="32.42578125" style="172" customWidth="1"/>
    <col min="4" max="4" width="12" style="172"/>
    <col min="5" max="5" width="63.42578125" style="172" customWidth="1"/>
    <col min="6" max="16384" width="12" style="172"/>
  </cols>
  <sheetData>
    <row r="1" spans="2:7" ht="15.75" thickBot="1" x14ac:dyDescent="0.3"/>
    <row r="2" spans="2:7" x14ac:dyDescent="0.25">
      <c r="B2" s="173"/>
      <c r="C2" s="174"/>
      <c r="D2" s="174"/>
      <c r="E2" s="174"/>
      <c r="F2" s="174"/>
      <c r="G2" s="175"/>
    </row>
    <row r="3" spans="2:7" ht="14.45" customHeight="1" x14ac:dyDescent="0.25">
      <c r="B3" s="176"/>
      <c r="G3" s="177"/>
    </row>
    <row r="4" spans="2:7" ht="24.6" customHeight="1" x14ac:dyDescent="0.25">
      <c r="B4" s="176"/>
      <c r="G4" s="177"/>
    </row>
    <row r="5" spans="2:7" x14ac:dyDescent="0.25">
      <c r="B5" s="176"/>
      <c r="G5" s="177"/>
    </row>
    <row r="6" spans="2:7" x14ac:dyDescent="0.25">
      <c r="B6" s="176"/>
      <c r="G6" s="177"/>
    </row>
    <row r="7" spans="2:7" x14ac:dyDescent="0.25">
      <c r="B7" s="176"/>
      <c r="C7" s="178" t="s">
        <v>168</v>
      </c>
      <c r="D7" s="179"/>
      <c r="G7" s="177"/>
    </row>
    <row r="8" spans="2:7" x14ac:dyDescent="0.25">
      <c r="B8" s="176"/>
      <c r="C8" s="180" t="s">
        <v>169</v>
      </c>
      <c r="D8" s="181" t="s">
        <v>170</v>
      </c>
      <c r="G8" s="177"/>
    </row>
    <row r="9" spans="2:7" x14ac:dyDescent="0.25">
      <c r="B9" s="176"/>
      <c r="C9" s="180" t="s">
        <v>171</v>
      </c>
      <c r="D9" s="182" t="s">
        <v>172</v>
      </c>
      <c r="G9" s="177"/>
    </row>
    <row r="10" spans="2:7" x14ac:dyDescent="0.25">
      <c r="B10" s="176"/>
      <c r="C10" s="180" t="s">
        <v>173</v>
      </c>
      <c r="D10" s="409"/>
      <c r="G10" s="177"/>
    </row>
    <row r="11" spans="2:7" x14ac:dyDescent="0.25">
      <c r="B11" s="176"/>
      <c r="C11" s="180" t="s">
        <v>174</v>
      </c>
      <c r="D11" s="410" t="s">
        <v>175</v>
      </c>
      <c r="G11" s="177"/>
    </row>
    <row r="12" spans="2:7" x14ac:dyDescent="0.25">
      <c r="B12" s="176"/>
      <c r="C12" s="183" t="s">
        <v>176</v>
      </c>
      <c r="D12" s="411" t="s">
        <v>175</v>
      </c>
      <c r="G12" s="177"/>
    </row>
    <row r="13" spans="2:7" x14ac:dyDescent="0.25">
      <c r="B13" s="176"/>
      <c r="G13" s="177"/>
    </row>
    <row r="14" spans="2:7" x14ac:dyDescent="0.25">
      <c r="B14" s="176"/>
      <c r="C14" s="184" t="s">
        <v>177</v>
      </c>
      <c r="G14" s="177"/>
    </row>
    <row r="15" spans="2:7" ht="14.45" customHeight="1" x14ac:dyDescent="0.25">
      <c r="B15" s="176"/>
      <c r="C15" s="432" t="s">
        <v>178</v>
      </c>
      <c r="D15" s="433"/>
      <c r="E15" s="433"/>
      <c r="F15" s="434"/>
      <c r="G15" s="177"/>
    </row>
    <row r="16" spans="2:7" x14ac:dyDescent="0.25">
      <c r="B16" s="176"/>
      <c r="C16" s="435"/>
      <c r="D16" s="436"/>
      <c r="E16" s="436"/>
      <c r="F16" s="437"/>
      <c r="G16" s="177"/>
    </row>
    <row r="17" spans="2:7" x14ac:dyDescent="0.25">
      <c r="B17" s="176"/>
      <c r="C17" s="435"/>
      <c r="D17" s="436"/>
      <c r="E17" s="436"/>
      <c r="F17" s="437"/>
      <c r="G17" s="177"/>
    </row>
    <row r="18" spans="2:7" x14ac:dyDescent="0.25">
      <c r="B18" s="176"/>
      <c r="C18" s="435"/>
      <c r="D18" s="436"/>
      <c r="E18" s="436"/>
      <c r="F18" s="437"/>
      <c r="G18" s="177"/>
    </row>
    <row r="19" spans="2:7" x14ac:dyDescent="0.25">
      <c r="B19" s="176"/>
      <c r="C19" s="435"/>
      <c r="D19" s="436"/>
      <c r="E19" s="436"/>
      <c r="F19" s="437"/>
      <c r="G19" s="177"/>
    </row>
    <row r="20" spans="2:7" x14ac:dyDescent="0.25">
      <c r="B20" s="176"/>
      <c r="C20" s="435"/>
      <c r="D20" s="436"/>
      <c r="E20" s="436"/>
      <c r="F20" s="437"/>
      <c r="G20" s="177"/>
    </row>
    <row r="21" spans="2:7" x14ac:dyDescent="0.25">
      <c r="B21" s="176"/>
      <c r="C21" s="435"/>
      <c r="D21" s="436"/>
      <c r="E21" s="436"/>
      <c r="F21" s="437"/>
      <c r="G21" s="177"/>
    </row>
    <row r="22" spans="2:7" x14ac:dyDescent="0.25">
      <c r="B22" s="176"/>
      <c r="C22" s="435"/>
      <c r="D22" s="436"/>
      <c r="E22" s="436"/>
      <c r="F22" s="437"/>
      <c r="G22" s="177"/>
    </row>
    <row r="23" spans="2:7" x14ac:dyDescent="0.25">
      <c r="B23" s="176"/>
      <c r="C23" s="435"/>
      <c r="D23" s="436"/>
      <c r="E23" s="436"/>
      <c r="F23" s="437"/>
      <c r="G23" s="177"/>
    </row>
    <row r="24" spans="2:7" x14ac:dyDescent="0.25">
      <c r="B24" s="176"/>
      <c r="C24" s="435"/>
      <c r="D24" s="436"/>
      <c r="E24" s="436"/>
      <c r="F24" s="437"/>
      <c r="G24" s="177"/>
    </row>
    <row r="25" spans="2:7" x14ac:dyDescent="0.25">
      <c r="B25" s="176"/>
      <c r="C25" s="438"/>
      <c r="D25" s="439"/>
      <c r="E25" s="439"/>
      <c r="F25" s="440"/>
      <c r="G25" s="177"/>
    </row>
    <row r="26" spans="2:7" x14ac:dyDescent="0.25">
      <c r="B26" s="176"/>
      <c r="C26" s="184"/>
      <c r="D26" s="441"/>
      <c r="E26" s="441"/>
      <c r="F26" s="441"/>
      <c r="G26" s="177"/>
    </row>
    <row r="27" spans="2:7" ht="15.75" thickBot="1" x14ac:dyDescent="0.3">
      <c r="B27" s="185"/>
      <c r="C27" s="186"/>
      <c r="D27" s="442"/>
      <c r="E27" s="442"/>
      <c r="F27" s="442"/>
      <c r="G27" s="187"/>
    </row>
    <row r="1000" spans="629:629" ht="15.75" x14ac:dyDescent="0.25">
      <c r="XE1000" s="210">
        <v>64765</v>
      </c>
    </row>
  </sheetData>
  <mergeCells count="2">
    <mergeCell ref="C15:F25"/>
    <mergeCell ref="D26:F27"/>
  </mergeCells>
  <conditionalFormatting sqref="D10">
    <cfRule type="cellIs" dxfId="45" priority="19" operator="greaterThan">
      <formula>0</formula>
    </cfRule>
  </conditionalFormatting>
  <conditionalFormatting sqref="D11">
    <cfRule type="cellIs" dxfId="44" priority="16" operator="equal">
      <formula>"Y"</formula>
    </cfRule>
  </conditionalFormatting>
  <conditionalFormatting sqref="D11:D12">
    <cfRule type="cellIs" dxfId="43" priority="17" operator="equal">
      <formula>10924.17088</formula>
    </cfRule>
    <cfRule type="cellIs" dxfId="42" priority="18" operator="notBetween">
      <formula>-0.0000001</formula>
      <formula>0.0000001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48BE-57EC-43E7-9BCB-957354E27671}">
  <dimension ref="A2:XX961"/>
  <sheetViews>
    <sheetView showGridLines="0" tabSelected="1" topLeftCell="A54" zoomScale="85" zoomScaleNormal="85" workbookViewId="0">
      <selection activeCell="N271" sqref="N271"/>
    </sheetView>
  </sheetViews>
  <sheetFormatPr defaultColWidth="9.140625" defaultRowHeight="15" x14ac:dyDescent="0.25"/>
  <cols>
    <col min="1" max="1" width="9.140625" style="1"/>
    <col min="2" max="2" width="9.140625" style="17"/>
    <col min="3" max="3" width="3.7109375" style="1" customWidth="1"/>
    <col min="4" max="4" width="27.140625" style="1" customWidth="1"/>
    <col min="5" max="5" width="13.7109375" style="1" customWidth="1"/>
    <col min="6" max="6" width="20.42578125" style="1" customWidth="1"/>
    <col min="7" max="7" width="17.28515625" style="1" customWidth="1"/>
    <col min="8" max="8" width="5.7109375" style="1" bestFit="1" customWidth="1"/>
    <col min="9" max="17" width="13.42578125" style="1" customWidth="1"/>
    <col min="18" max="18" width="1.7109375" style="1" customWidth="1"/>
    <col min="19" max="19" width="10.42578125" style="1" customWidth="1"/>
    <col min="20" max="20" width="16.85546875" style="1" bestFit="1" customWidth="1"/>
    <col min="21" max="16384" width="9.140625" style="1"/>
  </cols>
  <sheetData>
    <row r="2" spans="2:32" ht="15.75" thickBot="1" x14ac:dyDescent="0.3"/>
    <row r="3" spans="2:32" x14ac:dyDescent="0.25">
      <c r="U3" s="415" t="s">
        <v>274</v>
      </c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7"/>
    </row>
    <row r="4" spans="2:32" ht="18" thickBot="1" x14ac:dyDescent="0.35">
      <c r="D4" s="346" t="s">
        <v>202</v>
      </c>
      <c r="E4" s="342"/>
      <c r="F4" s="343"/>
      <c r="G4" s="344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U4" s="418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20"/>
    </row>
    <row r="5" spans="2:32" ht="15.75" thickBot="1" x14ac:dyDescent="0.3">
      <c r="D5" s="190" t="s">
        <v>203</v>
      </c>
      <c r="E5" s="2"/>
      <c r="F5" s="2"/>
      <c r="G5" s="3"/>
      <c r="U5" s="421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3"/>
    </row>
    <row r="6" spans="2:32" x14ac:dyDescent="0.25">
      <c r="U6" s="403" t="s">
        <v>275</v>
      </c>
    </row>
    <row r="7" spans="2:32" s="192" customFormat="1" ht="18" thickBot="1" x14ac:dyDescent="0.35">
      <c r="B7" s="191" t="s">
        <v>0</v>
      </c>
      <c r="D7" s="195"/>
      <c r="E7" s="193"/>
      <c r="F7" s="193"/>
      <c r="G7" s="194"/>
    </row>
    <row r="9" spans="2:32" x14ac:dyDescent="0.25">
      <c r="B9" s="188"/>
      <c r="C9" s="4"/>
      <c r="D9" s="301" t="s">
        <v>1</v>
      </c>
      <c r="E9" s="301"/>
      <c r="F9" s="301"/>
      <c r="G9" s="301"/>
      <c r="H9" s="302"/>
      <c r="I9" s="430" t="s">
        <v>2</v>
      </c>
      <c r="J9" s="430"/>
      <c r="K9" s="430"/>
      <c r="L9" s="431"/>
      <c r="M9" s="286" t="s">
        <v>3</v>
      </c>
      <c r="N9" s="286"/>
      <c r="O9" s="286"/>
      <c r="P9" s="286"/>
      <c r="Q9" s="286"/>
      <c r="S9" s="305" t="s">
        <v>4</v>
      </c>
    </row>
    <row r="10" spans="2:32" x14ac:dyDescent="0.25">
      <c r="D10" s="6" t="s">
        <v>5</v>
      </c>
      <c r="E10" s="7"/>
      <c r="F10" s="7"/>
      <c r="G10" s="7"/>
      <c r="H10" s="8" t="s">
        <v>6</v>
      </c>
      <c r="I10" s="303">
        <v>2023</v>
      </c>
      <c r="J10" s="303">
        <v>2024</v>
      </c>
      <c r="K10" s="303">
        <v>2025</v>
      </c>
      <c r="L10" s="304">
        <v>2026</v>
      </c>
      <c r="M10" s="287">
        <v>2027</v>
      </c>
      <c r="N10" s="287">
        <v>2028</v>
      </c>
      <c r="O10" s="287">
        <v>2029</v>
      </c>
      <c r="P10" s="287">
        <v>2030</v>
      </c>
      <c r="Q10" s="287">
        <v>2031</v>
      </c>
      <c r="S10" s="306" t="s">
        <v>281</v>
      </c>
    </row>
    <row r="11" spans="2:32" ht="3.95" customHeight="1" x14ac:dyDescent="0.25">
      <c r="H11" s="9"/>
      <c r="L11" s="158"/>
    </row>
    <row r="12" spans="2:32" x14ac:dyDescent="0.25">
      <c r="D12" s="1" t="s">
        <v>7</v>
      </c>
      <c r="H12" s="8" t="s">
        <v>8</v>
      </c>
      <c r="I12" s="13">
        <v>26974</v>
      </c>
      <c r="J12" s="13">
        <v>60922</v>
      </c>
      <c r="K12" s="13">
        <v>130497</v>
      </c>
      <c r="L12" s="11">
        <v>215938</v>
      </c>
      <c r="M12" s="291">
        <v>345500.80000000005</v>
      </c>
      <c r="N12" s="291">
        <v>518251.20000000007</v>
      </c>
      <c r="O12" s="291">
        <v>725551.68</v>
      </c>
      <c r="P12" s="291">
        <v>943217.18400000012</v>
      </c>
      <c r="Q12" s="291">
        <v>1131860.6208000001</v>
      </c>
      <c r="R12" s="292"/>
      <c r="S12" s="293">
        <v>0.39281288286829441</v>
      </c>
    </row>
    <row r="13" spans="2:32" ht="14.45" customHeight="1" x14ac:dyDescent="0.25">
      <c r="D13" s="12" t="s">
        <v>9</v>
      </c>
      <c r="E13" s="12"/>
      <c r="F13" s="12"/>
      <c r="G13" s="12"/>
      <c r="H13" s="8" t="s">
        <v>8</v>
      </c>
      <c r="I13" s="13">
        <v>11618</v>
      </c>
      <c r="J13" s="13">
        <v>16621</v>
      </c>
      <c r="K13" s="13">
        <v>32639</v>
      </c>
      <c r="L13" s="11">
        <v>62475</v>
      </c>
      <c r="M13" s="294">
        <v>82920.19200000001</v>
      </c>
      <c r="N13" s="294">
        <v>123343.78560000002</v>
      </c>
      <c r="O13" s="294">
        <v>171230.19648000001</v>
      </c>
      <c r="P13" s="294">
        <v>220712.82105600002</v>
      </c>
      <c r="Q13" s="294">
        <v>262591.66402560001</v>
      </c>
      <c r="R13" s="292"/>
      <c r="S13" s="292"/>
    </row>
    <row r="14" spans="2:32" ht="14.45" customHeight="1" x14ac:dyDescent="0.25">
      <c r="D14" s="14" t="s">
        <v>10</v>
      </c>
      <c r="E14" s="14"/>
      <c r="F14" s="14"/>
      <c r="G14" s="14"/>
      <c r="H14" s="15" t="s">
        <v>8</v>
      </c>
      <c r="I14" s="16">
        <v>15356</v>
      </c>
      <c r="J14" s="16">
        <v>44301</v>
      </c>
      <c r="K14" s="16">
        <v>97858</v>
      </c>
      <c r="L14" s="248">
        <v>153463</v>
      </c>
      <c r="M14" s="295">
        <v>262580.60800000001</v>
      </c>
      <c r="N14" s="295">
        <v>394907.41440000007</v>
      </c>
      <c r="O14" s="295">
        <v>554321.48352000001</v>
      </c>
      <c r="P14" s="295">
        <v>722504.36294400017</v>
      </c>
      <c r="Q14" s="295">
        <v>869268.95677440008</v>
      </c>
      <c r="R14" s="7"/>
      <c r="S14" s="7"/>
      <c r="T14" s="17"/>
    </row>
    <row r="15" spans="2:32" ht="6.2" customHeight="1" x14ac:dyDescent="0.25">
      <c r="D15" s="17"/>
      <c r="E15" s="17"/>
      <c r="F15" s="17"/>
      <c r="G15" s="17"/>
      <c r="H15" s="8"/>
      <c r="I15" s="19"/>
      <c r="J15" s="19"/>
      <c r="K15" s="19"/>
      <c r="L15" s="18"/>
      <c r="M15" s="296"/>
      <c r="N15" s="296"/>
      <c r="O15" s="296"/>
      <c r="P15" s="296"/>
      <c r="Q15" s="296"/>
      <c r="R15" s="292"/>
      <c r="S15" s="7"/>
      <c r="T15" s="17"/>
    </row>
    <row r="16" spans="2:32" ht="14.45" customHeight="1" x14ac:dyDescent="0.25">
      <c r="D16" s="12" t="s">
        <v>205</v>
      </c>
      <c r="E16" s="12"/>
      <c r="F16" s="12"/>
      <c r="G16" s="12"/>
      <c r="H16" s="8" t="s">
        <v>8</v>
      </c>
      <c r="I16" s="13">
        <v>7339</v>
      </c>
      <c r="J16" s="13">
        <v>8675</v>
      </c>
      <c r="K16" s="13">
        <v>12914</v>
      </c>
      <c r="L16" s="11">
        <v>18497</v>
      </c>
      <c r="M16" s="291">
        <v>36083.634464751958</v>
      </c>
      <c r="N16" s="291">
        <v>54125.451697127944</v>
      </c>
      <c r="O16" s="291">
        <v>75775.632375979112</v>
      </c>
      <c r="P16" s="291">
        <v>98508.322088772853</v>
      </c>
      <c r="Q16" s="291">
        <v>118209.98650652742</v>
      </c>
      <c r="R16" s="292"/>
      <c r="S16" s="7"/>
      <c r="T16" s="17"/>
    </row>
    <row r="17" spans="2:21" ht="14.45" customHeight="1" x14ac:dyDescent="0.25">
      <c r="D17" s="12" t="s">
        <v>207</v>
      </c>
      <c r="E17" s="12"/>
      <c r="F17" s="12"/>
      <c r="G17" s="12"/>
      <c r="H17" s="8"/>
      <c r="I17" s="13">
        <v>1353</v>
      </c>
      <c r="J17" s="13">
        <v>0</v>
      </c>
      <c r="K17" s="13">
        <v>0</v>
      </c>
      <c r="L17" s="11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292"/>
      <c r="S17" s="7"/>
      <c r="T17" s="17"/>
    </row>
    <row r="18" spans="2:21" ht="14.45" customHeight="1" x14ac:dyDescent="0.25">
      <c r="D18" s="12" t="s">
        <v>11</v>
      </c>
      <c r="E18" s="12"/>
      <c r="F18" s="12"/>
      <c r="G18" s="12"/>
      <c r="H18" s="8" t="s">
        <v>8</v>
      </c>
      <c r="I18" s="13">
        <v>2440</v>
      </c>
      <c r="J18" s="13">
        <v>2654</v>
      </c>
      <c r="K18" s="13">
        <v>3491</v>
      </c>
      <c r="L18" s="11">
        <v>4579</v>
      </c>
      <c r="M18" s="297">
        <v>10307.714698203043</v>
      </c>
      <c r="N18" s="297">
        <v>15461.572047304564</v>
      </c>
      <c r="O18" s="297">
        <v>21646.200866226387</v>
      </c>
      <c r="P18" s="297">
        <v>28140.061126094308</v>
      </c>
      <c r="Q18" s="297">
        <v>33768.073351313171</v>
      </c>
      <c r="R18" s="292"/>
      <c r="S18" s="7"/>
      <c r="T18" s="17"/>
    </row>
    <row r="19" spans="2:21" ht="14.45" customHeight="1" x14ac:dyDescent="0.25">
      <c r="D19" s="20" t="s">
        <v>12</v>
      </c>
      <c r="E19" s="20"/>
      <c r="F19" s="20"/>
      <c r="G19" s="20"/>
      <c r="H19" s="15" t="s">
        <v>8</v>
      </c>
      <c r="I19" s="16">
        <v>4224</v>
      </c>
      <c r="J19" s="16">
        <v>32972</v>
      </c>
      <c r="K19" s="16">
        <v>81453</v>
      </c>
      <c r="L19" s="248">
        <v>130387</v>
      </c>
      <c r="M19" s="298">
        <v>216189.258837045</v>
      </c>
      <c r="N19" s="298">
        <v>325320.39065556758</v>
      </c>
      <c r="O19" s="298">
        <v>456899.65027779451</v>
      </c>
      <c r="P19" s="298">
        <v>595855.97972913296</v>
      </c>
      <c r="Q19" s="298">
        <v>717290.89691655943</v>
      </c>
      <c r="R19" s="292"/>
      <c r="S19" s="7"/>
      <c r="T19" s="17"/>
    </row>
    <row r="20" spans="2:21" ht="6.2" customHeight="1" x14ac:dyDescent="0.25">
      <c r="D20" s="17"/>
      <c r="E20" s="17"/>
      <c r="F20" s="17"/>
      <c r="G20" s="17"/>
      <c r="H20" s="8"/>
      <c r="I20" s="19"/>
      <c r="J20" s="19"/>
      <c r="K20" s="19"/>
      <c r="L20" s="18"/>
      <c r="M20" s="299"/>
      <c r="N20" s="299"/>
      <c r="O20" s="299"/>
      <c r="P20" s="299"/>
      <c r="Q20" s="299"/>
      <c r="R20" s="292"/>
      <c r="S20" s="7"/>
      <c r="T20" s="17"/>
    </row>
    <row r="21" spans="2:21" ht="15" customHeight="1" x14ac:dyDescent="0.25">
      <c r="D21" s="12" t="s">
        <v>206</v>
      </c>
      <c r="E21" s="17"/>
      <c r="F21" s="17"/>
      <c r="G21" s="17"/>
      <c r="H21" s="8" t="s">
        <v>8</v>
      </c>
      <c r="I21" s="13">
        <v>-48</v>
      </c>
      <c r="J21" s="13">
        <v>237</v>
      </c>
      <c r="K21" s="13">
        <v>1034</v>
      </c>
      <c r="L21" s="11">
        <v>9022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292"/>
      <c r="S21" s="7"/>
      <c r="T21" s="17"/>
    </row>
    <row r="22" spans="2:21" ht="15" customHeight="1" x14ac:dyDescent="0.25">
      <c r="D22" s="12" t="s">
        <v>208</v>
      </c>
      <c r="E22" s="17"/>
      <c r="F22" s="17"/>
      <c r="G22" s="17"/>
      <c r="H22" s="8"/>
      <c r="I22" s="13">
        <v>267</v>
      </c>
      <c r="J22" s="13">
        <v>866</v>
      </c>
      <c r="K22" s="13">
        <v>1786</v>
      </c>
      <c r="L22" s="11">
        <v>2300</v>
      </c>
      <c r="M22" s="291">
        <v>1650.5610486145476</v>
      </c>
      <c r="N22" s="291">
        <v>16443.244466491604</v>
      </c>
      <c r="O22" s="291">
        <v>24324.434236012839</v>
      </c>
      <c r="P22" s="291">
        <v>37857.583577840494</v>
      </c>
      <c r="Q22" s="291">
        <v>49136.335354373863</v>
      </c>
      <c r="R22" s="292"/>
      <c r="S22" s="7"/>
      <c r="T22" s="17"/>
    </row>
    <row r="23" spans="2:21" x14ac:dyDescent="0.25">
      <c r="D23" s="12" t="s">
        <v>209</v>
      </c>
      <c r="E23" s="12"/>
      <c r="F23" s="12"/>
      <c r="G23" s="12"/>
      <c r="H23" s="8" t="s">
        <v>8</v>
      </c>
      <c r="I23" s="13">
        <v>-262</v>
      </c>
      <c r="J23" s="13">
        <v>-257</v>
      </c>
      <c r="K23" s="13">
        <v>-247</v>
      </c>
      <c r="L23" s="11">
        <v>-259</v>
      </c>
      <c r="M23" s="294">
        <v>-212.76228529411765</v>
      </c>
      <c r="N23" s="294">
        <v>-175.89096176470588</v>
      </c>
      <c r="O23" s="294">
        <v>-139.01963823529411</v>
      </c>
      <c r="P23" s="294">
        <v>-102.14831470588236</v>
      </c>
      <c r="Q23" s="294">
        <v>-65.276991176470588</v>
      </c>
      <c r="R23" s="292"/>
      <c r="S23" s="7"/>
      <c r="T23" s="17"/>
    </row>
    <row r="24" spans="2:21" x14ac:dyDescent="0.25">
      <c r="D24" s="21" t="s">
        <v>13</v>
      </c>
      <c r="E24" s="21"/>
      <c r="F24" s="21"/>
      <c r="G24" s="21"/>
      <c r="H24" s="15" t="s">
        <v>8</v>
      </c>
      <c r="I24" s="16">
        <v>4181</v>
      </c>
      <c r="J24" s="16">
        <v>33818</v>
      </c>
      <c r="K24" s="16">
        <v>84026</v>
      </c>
      <c r="L24" s="248">
        <v>141450</v>
      </c>
      <c r="M24" s="295">
        <v>217627.05760036543</v>
      </c>
      <c r="N24" s="295">
        <v>341587.74416029447</v>
      </c>
      <c r="O24" s="295">
        <v>481085.0648755721</v>
      </c>
      <c r="P24" s="295">
        <v>633611.4149922675</v>
      </c>
      <c r="Q24" s="295">
        <v>766361.95527975692</v>
      </c>
      <c r="R24" s="292"/>
      <c r="S24" s="7"/>
      <c r="T24" s="17"/>
    </row>
    <row r="25" spans="2:21" x14ac:dyDescent="0.25">
      <c r="D25" s="12" t="s">
        <v>204</v>
      </c>
      <c r="E25" s="12"/>
      <c r="F25" s="12"/>
      <c r="G25" s="12"/>
      <c r="H25" s="8" t="s">
        <v>8</v>
      </c>
      <c r="I25" s="13">
        <v>187</v>
      </c>
      <c r="J25" s="13">
        <v>-4058</v>
      </c>
      <c r="K25" s="13">
        <v>-11146</v>
      </c>
      <c r="L25" s="11">
        <v>-21383</v>
      </c>
      <c r="M25" s="297">
        <v>-30202.539737581821</v>
      </c>
      <c r="N25" s="297">
        <v>-50821.827467436975</v>
      </c>
      <c r="O25" s="297">
        <v>-76387.254024614987</v>
      </c>
      <c r="P25" s="297">
        <v>-106941.68194577229</v>
      </c>
      <c r="Q25" s="297">
        <v>-137011.09426309477</v>
      </c>
      <c r="R25" s="292"/>
      <c r="S25" s="7"/>
      <c r="T25" s="17"/>
    </row>
    <row r="26" spans="2:21" ht="15.75" thickBot="1" x14ac:dyDescent="0.3">
      <c r="D26" s="22" t="s">
        <v>14</v>
      </c>
      <c r="E26" s="22"/>
      <c r="F26" s="22"/>
      <c r="G26" s="22"/>
      <c r="H26" s="23" t="s">
        <v>8</v>
      </c>
      <c r="I26" s="24">
        <v>4368</v>
      </c>
      <c r="J26" s="24">
        <v>29760</v>
      </c>
      <c r="K26" s="24">
        <v>72880</v>
      </c>
      <c r="L26" s="249">
        <v>120067</v>
      </c>
      <c r="M26" s="300">
        <v>187424.5178627836</v>
      </c>
      <c r="N26" s="300">
        <v>290765.91669285751</v>
      </c>
      <c r="O26" s="300">
        <v>404697.81085095712</v>
      </c>
      <c r="P26" s="300">
        <v>526669.73304649524</v>
      </c>
      <c r="Q26" s="300">
        <v>629350.86101666209</v>
      </c>
      <c r="R26" s="292"/>
      <c r="S26" s="7"/>
      <c r="T26" s="17"/>
    </row>
    <row r="27" spans="2:21" ht="15.75" customHeight="1" thickTop="1" x14ac:dyDescent="0.25">
      <c r="I27" s="234"/>
      <c r="J27" s="234"/>
      <c r="K27" s="288"/>
      <c r="L27" s="25"/>
      <c r="M27" s="292"/>
      <c r="N27" s="292"/>
      <c r="O27" s="292"/>
      <c r="P27" s="292"/>
      <c r="Q27" s="292"/>
      <c r="R27" s="292"/>
      <c r="S27" s="7"/>
      <c r="T27" s="17"/>
    </row>
    <row r="28" spans="2:21" x14ac:dyDescent="0.25">
      <c r="D28" s="1" t="s">
        <v>15</v>
      </c>
      <c r="H28" s="8" t="s">
        <v>8</v>
      </c>
      <c r="I28" s="26">
        <v>4224</v>
      </c>
      <c r="J28" s="26">
        <v>32972</v>
      </c>
      <c r="K28" s="26">
        <v>81453</v>
      </c>
      <c r="L28" s="250">
        <v>130387</v>
      </c>
      <c r="M28" s="291">
        <v>216189.258837045</v>
      </c>
      <c r="N28" s="291">
        <v>325320.39065556758</v>
      </c>
      <c r="O28" s="291">
        <v>456899.65027779451</v>
      </c>
      <c r="P28" s="291">
        <v>595855.97972913296</v>
      </c>
      <c r="Q28" s="291">
        <v>717290.89691655943</v>
      </c>
      <c r="R28" s="292"/>
      <c r="S28" s="7"/>
      <c r="T28" s="17"/>
    </row>
    <row r="29" spans="2:21" x14ac:dyDescent="0.25">
      <c r="D29" s="12" t="s">
        <v>16</v>
      </c>
      <c r="H29" s="8" t="s">
        <v>8</v>
      </c>
      <c r="I29" s="27">
        <v>1544</v>
      </c>
      <c r="J29" s="27">
        <v>1508</v>
      </c>
      <c r="K29" s="27">
        <v>1864</v>
      </c>
      <c r="L29" s="251">
        <v>2843</v>
      </c>
      <c r="M29" s="294">
        <v>4548.8000000000011</v>
      </c>
      <c r="N29" s="294">
        <v>6823.2000000000007</v>
      </c>
      <c r="O29" s="294">
        <v>9552.4800000000014</v>
      </c>
      <c r="P29" s="294">
        <v>12418.224000000002</v>
      </c>
      <c r="Q29" s="294">
        <v>14901.868800000002</v>
      </c>
      <c r="R29" s="292"/>
      <c r="S29" s="7"/>
      <c r="T29" s="17"/>
    </row>
    <row r="30" spans="2:21" x14ac:dyDescent="0.25">
      <c r="D30" s="28" t="s">
        <v>17</v>
      </c>
      <c r="E30" s="28"/>
      <c r="F30" s="28"/>
      <c r="G30" s="28"/>
      <c r="H30" s="29" t="s">
        <v>8</v>
      </c>
      <c r="I30" s="165">
        <v>5768</v>
      </c>
      <c r="J30" s="165">
        <v>34480</v>
      </c>
      <c r="K30" s="165">
        <v>83317</v>
      </c>
      <c r="L30" s="252">
        <v>133230</v>
      </c>
      <c r="M30" s="298">
        <v>220738.05883704498</v>
      </c>
      <c r="N30" s="298">
        <v>332143.59065556759</v>
      </c>
      <c r="O30" s="298">
        <v>466452.13027779449</v>
      </c>
      <c r="P30" s="298">
        <v>608274.20372913301</v>
      </c>
      <c r="Q30" s="298">
        <v>732192.76571655949</v>
      </c>
      <c r="R30" s="7"/>
      <c r="S30" s="7"/>
      <c r="T30" s="17"/>
    </row>
    <row r="31" spans="2:21" customFormat="1" x14ac:dyDescent="0.25">
      <c r="B31" s="189" t="s">
        <v>18</v>
      </c>
      <c r="C31" s="30"/>
      <c r="D31" s="1"/>
      <c r="E31" s="1"/>
      <c r="F31" s="1"/>
      <c r="G31" s="1"/>
      <c r="L31" s="158"/>
      <c r="T31" s="1"/>
      <c r="U31" s="1"/>
    </row>
    <row r="32" spans="2:21" customFormat="1" x14ac:dyDescent="0.25">
      <c r="B32" s="17"/>
      <c r="C32" s="1"/>
      <c r="D32" s="32" t="s">
        <v>19</v>
      </c>
      <c r="E32" s="32"/>
      <c r="F32" s="32"/>
      <c r="G32" s="32"/>
      <c r="H32" s="8" t="s">
        <v>6</v>
      </c>
      <c r="L32" s="158"/>
      <c r="T32" s="1"/>
      <c r="U32" s="1"/>
    </row>
    <row r="33" spans="2:21" ht="3.95" customHeight="1" x14ac:dyDescent="0.25">
      <c r="H33" s="9"/>
      <c r="J33" s="1">
        <v>0</v>
      </c>
      <c r="K33" s="200">
        <v>0</v>
      </c>
      <c r="L33" s="158"/>
      <c r="S33" s="5" t="s">
        <v>20</v>
      </c>
    </row>
    <row r="34" spans="2:21" x14ac:dyDescent="0.25">
      <c r="D34" s="34" t="s">
        <v>21</v>
      </c>
      <c r="E34" s="34"/>
      <c r="F34" s="34"/>
      <c r="G34" s="34"/>
      <c r="H34" s="35" t="s">
        <v>22</v>
      </c>
      <c r="I34" s="197"/>
      <c r="J34" s="197">
        <v>1.2585452658115224</v>
      </c>
      <c r="K34" s="197">
        <v>1.1420340763599355</v>
      </c>
      <c r="L34" s="37">
        <v>0.65473535790094783</v>
      </c>
      <c r="M34" s="44">
        <v>0.6</v>
      </c>
      <c r="N34" s="38">
        <v>0.5</v>
      </c>
      <c r="O34" s="38">
        <v>0.4</v>
      </c>
      <c r="P34" s="38">
        <v>0.30000000000000004</v>
      </c>
      <c r="Q34" s="38">
        <v>0.20000000000000004</v>
      </c>
      <c r="R34" s="39"/>
      <c r="S34" s="40">
        <v>-0.1</v>
      </c>
    </row>
    <row r="35" spans="2:21" x14ac:dyDescent="0.25">
      <c r="D35" s="34" t="s">
        <v>23</v>
      </c>
      <c r="E35" s="34"/>
      <c r="F35" s="34"/>
      <c r="G35" s="34"/>
      <c r="H35" s="35" t="s">
        <v>22</v>
      </c>
      <c r="I35" s="197">
        <v>0.43071105509008673</v>
      </c>
      <c r="J35" s="197">
        <v>0.27282426709563046</v>
      </c>
      <c r="K35" s="197">
        <v>0.25011302941830083</v>
      </c>
      <c r="L35" s="37">
        <v>0.28931915642452927</v>
      </c>
      <c r="M35" s="44">
        <v>0.24</v>
      </c>
      <c r="N35" s="38">
        <v>0.23799999999999999</v>
      </c>
      <c r="O35" s="38">
        <v>0.23599999999999999</v>
      </c>
      <c r="P35" s="38">
        <v>0.23399999999999999</v>
      </c>
      <c r="Q35" s="38">
        <v>0.23199999999999998</v>
      </c>
      <c r="R35" s="39"/>
      <c r="S35" s="40">
        <v>-2E-3</v>
      </c>
    </row>
    <row r="36" spans="2:21" x14ac:dyDescent="0.25">
      <c r="D36" s="34" t="s">
        <v>24</v>
      </c>
      <c r="E36" s="34"/>
      <c r="F36" s="34"/>
      <c r="G36" s="34"/>
      <c r="H36" s="35" t="s">
        <v>22</v>
      </c>
      <c r="I36" s="197">
        <v>0.27207681471046191</v>
      </c>
      <c r="J36" s="197">
        <v>0.14239519385443683</v>
      </c>
      <c r="K36" s="197">
        <v>9.8960129351632606E-2</v>
      </c>
      <c r="L36" s="37">
        <v>8.5658846520760584E-2</v>
      </c>
      <c r="M36" s="44">
        <v>0.10443864229765012</v>
      </c>
      <c r="N36" s="41">
        <v>0.10443864229765012</v>
      </c>
      <c r="O36" s="41">
        <v>0.10443864229765012</v>
      </c>
      <c r="P36" s="41">
        <v>0.10443864229765012</v>
      </c>
      <c r="Q36" s="41">
        <v>0.10443864229765012</v>
      </c>
      <c r="R36" s="39"/>
      <c r="S36" s="40">
        <v>0</v>
      </c>
    </row>
    <row r="37" spans="2:21" x14ac:dyDescent="0.25">
      <c r="D37" s="34" t="s">
        <v>25</v>
      </c>
      <c r="E37" s="34"/>
      <c r="F37" s="34"/>
      <c r="G37" s="34"/>
      <c r="H37" s="35" t="s">
        <v>22</v>
      </c>
      <c r="I37" s="197">
        <v>9.0457477570994288E-2</v>
      </c>
      <c r="J37" s="197">
        <v>4.3563901382095135E-2</v>
      </c>
      <c r="K37" s="197">
        <v>2.6751572833091947E-2</v>
      </c>
      <c r="L37" s="37">
        <v>2.1205160740582946E-2</v>
      </c>
      <c r="M37" s="44">
        <v>2.9834126862233145E-2</v>
      </c>
      <c r="N37" s="43">
        <v>2.9834126862233145E-2</v>
      </c>
      <c r="O37" s="43">
        <v>2.9834126862233145E-2</v>
      </c>
      <c r="P37" s="43">
        <v>2.9834126862233145E-2</v>
      </c>
      <c r="Q37" s="43">
        <v>2.9834126862233145E-2</v>
      </c>
      <c r="R37" s="39"/>
      <c r="S37" s="40">
        <v>0</v>
      </c>
    </row>
    <row r="38" spans="2:21" x14ac:dyDescent="0.25">
      <c r="D38" s="34" t="s">
        <v>26</v>
      </c>
      <c r="E38" s="34"/>
      <c r="F38" s="34"/>
      <c r="G38" s="34"/>
      <c r="H38" s="35" t="s">
        <v>22</v>
      </c>
      <c r="I38" s="197">
        <v>5.7240305479350488E-2</v>
      </c>
      <c r="J38" s="197">
        <v>2.4752962804898065E-2</v>
      </c>
      <c r="K38" s="197">
        <v>1.4283853268657517E-2</v>
      </c>
      <c r="L38" s="37">
        <v>1.3165816113884541E-2</v>
      </c>
      <c r="M38" s="44">
        <v>1.3165816113884541E-2</v>
      </c>
      <c r="N38" s="43">
        <v>1.3165816113884541E-2</v>
      </c>
      <c r="O38" s="43">
        <v>1.3165816113884541E-2</v>
      </c>
      <c r="P38" s="43">
        <v>1.3165816113884541E-2</v>
      </c>
      <c r="Q38" s="43">
        <v>1.3165816113884541E-2</v>
      </c>
      <c r="R38" s="39"/>
      <c r="S38" s="40">
        <v>0</v>
      </c>
    </row>
    <row r="39" spans="2:21" x14ac:dyDescent="0.25">
      <c r="D39" s="34" t="s">
        <v>27</v>
      </c>
      <c r="E39" s="34"/>
      <c r="F39" s="34"/>
      <c r="G39" s="34"/>
      <c r="H39" s="35"/>
      <c r="I39" s="289">
        <v>-1.4443405051449953</v>
      </c>
      <c r="J39" s="289">
        <v>-0.46600741656365885</v>
      </c>
      <c r="K39" s="289">
        <v>-0.30850711684872556</v>
      </c>
      <c r="L39" s="46">
        <v>-0.35102709395010856</v>
      </c>
      <c r="M39" s="44">
        <v>-0.56164335032017376</v>
      </c>
      <c r="N39" s="44">
        <v>-0.56164335032017376</v>
      </c>
      <c r="O39" s="44">
        <v>-0.56164335032017376</v>
      </c>
      <c r="P39" s="44">
        <v>-0.56164335032017376</v>
      </c>
      <c r="Q39" s="44">
        <v>-0.56164335032017376</v>
      </c>
      <c r="R39" s="39"/>
      <c r="S39" s="45"/>
    </row>
    <row r="40" spans="2:21" x14ac:dyDescent="0.25">
      <c r="D40" s="34" t="s">
        <v>216</v>
      </c>
      <c r="E40" s="34"/>
      <c r="F40" s="34"/>
      <c r="G40" s="34"/>
      <c r="H40" s="35"/>
      <c r="I40" s="289">
        <v>7.8784302154027736E-2</v>
      </c>
      <c r="J40" s="289">
        <v>0.11895604395604395</v>
      </c>
      <c r="K40" s="289">
        <v>0.20794038886948421</v>
      </c>
      <c r="L40" s="46">
        <v>0.21687883074021688</v>
      </c>
      <c r="M40" s="44">
        <v>0.15563989142994319</v>
      </c>
      <c r="N40" s="43">
        <v>0.15563989142994319</v>
      </c>
      <c r="O40" s="43">
        <v>0.15563989142994319</v>
      </c>
      <c r="P40" s="43">
        <v>0.15563989142994319</v>
      </c>
      <c r="Q40" s="43">
        <v>0.15563989142994319</v>
      </c>
      <c r="R40" s="39"/>
      <c r="S40" s="45"/>
    </row>
    <row r="41" spans="2:21" x14ac:dyDescent="0.25">
      <c r="D41" s="34" t="s">
        <v>28</v>
      </c>
      <c r="E41" s="34"/>
      <c r="F41" s="34"/>
      <c r="G41" s="34"/>
      <c r="H41" s="35" t="s">
        <v>22</v>
      </c>
      <c r="I41" s="290">
        <v>3.0972928242108996E-2</v>
      </c>
      <c r="J41" s="290">
        <v>3.0367481980385205E-2</v>
      </c>
      <c r="K41" s="290">
        <v>3.3070022760744409E-2</v>
      </c>
      <c r="L41" s="253">
        <v>3.5907389435741024E-2</v>
      </c>
      <c r="M41" s="44">
        <v>2.9497058823529411E-2</v>
      </c>
      <c r="N41" s="43">
        <v>2.9497058823529411E-2</v>
      </c>
      <c r="O41" s="43">
        <v>2.9497058823529411E-2</v>
      </c>
      <c r="P41" s="43">
        <v>2.9497058823529411E-2</v>
      </c>
      <c r="Q41" s="43">
        <v>2.9497058823529411E-2</v>
      </c>
      <c r="R41" s="39"/>
      <c r="S41" s="39"/>
    </row>
    <row r="42" spans="2:21" x14ac:dyDescent="0.25">
      <c r="D42" s="34" t="s">
        <v>29</v>
      </c>
      <c r="E42" s="34"/>
      <c r="F42" s="34"/>
      <c r="G42" s="34"/>
      <c r="H42" s="35" t="s">
        <v>22</v>
      </c>
      <c r="I42" s="197">
        <v>-4.4726142071274816E-2</v>
      </c>
      <c r="J42" s="197">
        <v>0.1199952687917677</v>
      </c>
      <c r="K42" s="197">
        <v>0.13264941803727417</v>
      </c>
      <c r="L42" s="37">
        <v>0.15117002474372571</v>
      </c>
      <c r="M42" s="44">
        <v>0.13878117946640431</v>
      </c>
      <c r="N42" s="43">
        <v>0.14878117946640432</v>
      </c>
      <c r="O42" s="43">
        <v>0.15878117946640433</v>
      </c>
      <c r="P42" s="43">
        <v>0.16878117946640434</v>
      </c>
      <c r="Q42" s="43">
        <v>0.17878117946640434</v>
      </c>
      <c r="R42" s="39"/>
      <c r="S42" s="40">
        <v>0.01</v>
      </c>
    </row>
    <row r="43" spans="2:21" x14ac:dyDescent="0.25">
      <c r="D43" s="34"/>
      <c r="E43" s="34"/>
      <c r="F43" s="34"/>
      <c r="G43" s="34"/>
      <c r="H43" s="35"/>
      <c r="I43" s="36"/>
      <c r="J43" s="36"/>
      <c r="K43" s="36"/>
      <c r="L43" s="197"/>
      <c r="M43" s="42"/>
      <c r="N43" s="43"/>
      <c r="O43" s="43"/>
      <c r="P43" s="43"/>
      <c r="Q43" s="43"/>
      <c r="R43" s="39"/>
      <c r="S43" s="39"/>
      <c r="U43" s="207"/>
    </row>
    <row r="44" spans="2:21" x14ac:dyDescent="0.25">
      <c r="D44" s="34"/>
      <c r="E44" s="34"/>
      <c r="F44" s="34"/>
      <c r="G44" s="34"/>
      <c r="H44" s="35"/>
      <c r="I44" s="36"/>
      <c r="J44" s="36"/>
      <c r="K44" s="36"/>
      <c r="L44" s="197"/>
      <c r="M44" s="42"/>
      <c r="N44" s="43"/>
      <c r="O44" s="43"/>
      <c r="P44" s="43"/>
      <c r="Q44" s="43"/>
      <c r="R44" s="39"/>
      <c r="S44" s="39"/>
    </row>
    <row r="45" spans="2:21" x14ac:dyDescent="0.25">
      <c r="D45" s="34"/>
      <c r="E45" s="34"/>
      <c r="F45" s="34"/>
      <c r="G45" s="34"/>
      <c r="H45" s="35"/>
      <c r="I45" s="36"/>
      <c r="J45" s="36"/>
      <c r="K45" s="36"/>
      <c r="L45" s="197"/>
      <c r="M45" s="42"/>
      <c r="N45" s="43"/>
      <c r="O45" s="43"/>
      <c r="P45" s="43"/>
      <c r="Q45" s="43"/>
      <c r="R45" s="39"/>
      <c r="S45" s="39"/>
    </row>
    <row r="47" spans="2:21" s="192" customFormat="1" ht="18" thickBot="1" x14ac:dyDescent="0.35">
      <c r="B47" s="191" t="s">
        <v>30</v>
      </c>
      <c r="D47" s="195" t="s">
        <v>31</v>
      </c>
      <c r="E47" s="193"/>
      <c r="F47" s="193"/>
      <c r="G47" s="194"/>
    </row>
    <row r="49" spans="2:17" x14ac:dyDescent="0.25">
      <c r="B49" s="188"/>
      <c r="C49" s="4"/>
      <c r="D49" s="301" t="s">
        <v>31</v>
      </c>
      <c r="E49" s="301"/>
      <c r="F49" s="301"/>
      <c r="G49" s="301"/>
      <c r="H49" s="302"/>
      <c r="I49" s="430" t="s">
        <v>2</v>
      </c>
      <c r="J49" s="430"/>
      <c r="K49" s="430"/>
      <c r="L49" s="431"/>
      <c r="M49" s="286" t="s">
        <v>3</v>
      </c>
      <c r="N49" s="286"/>
      <c r="O49" s="286"/>
      <c r="P49" s="286"/>
      <c r="Q49" s="286"/>
    </row>
    <row r="50" spans="2:17" x14ac:dyDescent="0.25">
      <c r="D50" s="6" t="s">
        <v>5</v>
      </c>
      <c r="E50" s="7"/>
      <c r="F50" s="7"/>
      <c r="G50" s="7"/>
      <c r="H50" s="8" t="s">
        <v>6</v>
      </c>
      <c r="I50" s="303">
        <f>J50-1</f>
        <v>2023</v>
      </c>
      <c r="J50" s="303">
        <f>K50-1</f>
        <v>2024</v>
      </c>
      <c r="K50" s="303">
        <f>L50-1</f>
        <v>2025</v>
      </c>
      <c r="L50" s="304">
        <v>2026</v>
      </c>
      <c r="M50" s="287">
        <f>$M$10</f>
        <v>2027</v>
      </c>
      <c r="N50" s="287">
        <f>$N$10</f>
        <v>2028</v>
      </c>
      <c r="O50" s="287">
        <f>$O$10</f>
        <v>2029</v>
      </c>
      <c r="P50" s="287">
        <f>$P$10</f>
        <v>2030</v>
      </c>
      <c r="Q50" s="287">
        <f>$Q$10</f>
        <v>2031</v>
      </c>
    </row>
    <row r="51" spans="2:17" ht="3.95" customHeight="1" x14ac:dyDescent="0.25">
      <c r="B51" s="188"/>
      <c r="C51" s="4"/>
      <c r="D51" s="7"/>
      <c r="E51" s="7"/>
      <c r="F51" s="7"/>
      <c r="G51" s="7"/>
      <c r="H51" s="47"/>
      <c r="I51" s="48"/>
      <c r="J51" s="48"/>
      <c r="K51" s="48"/>
      <c r="L51" s="335"/>
      <c r="M51" s="49"/>
      <c r="N51" s="49"/>
      <c r="O51" s="49"/>
      <c r="P51" s="49"/>
      <c r="Q51" s="49"/>
    </row>
    <row r="52" spans="2:17" x14ac:dyDescent="0.25">
      <c r="D52" s="50" t="s">
        <v>32</v>
      </c>
      <c r="E52" s="50"/>
      <c r="F52" s="50"/>
      <c r="G52" s="50"/>
      <c r="H52" s="8" t="s">
        <v>8</v>
      </c>
      <c r="I52" s="13">
        <v>3389</v>
      </c>
      <c r="J52" s="13">
        <v>7280</v>
      </c>
      <c r="K52" s="13">
        <v>8589</v>
      </c>
      <c r="L52" s="11">
        <v>10605</v>
      </c>
      <c r="M52" s="333">
        <v>105649.2928350124</v>
      </c>
      <c r="N52" s="333">
        <v>156286.63071229256</v>
      </c>
      <c r="O52" s="333">
        <v>243238.30625955551</v>
      </c>
      <c r="P52" s="333">
        <v>315705.27904467966</v>
      </c>
      <c r="Q52" s="333">
        <v>386401.27006633027</v>
      </c>
    </row>
    <row r="53" spans="2:17" x14ac:dyDescent="0.25">
      <c r="D53" s="50" t="s">
        <v>198</v>
      </c>
      <c r="E53" s="50"/>
      <c r="F53" s="50"/>
      <c r="G53" s="50"/>
      <c r="H53" s="8" t="s">
        <v>8</v>
      </c>
      <c r="I53" s="13">
        <v>9907</v>
      </c>
      <c r="J53" s="13">
        <v>18704</v>
      </c>
      <c r="K53" s="13">
        <v>34621</v>
      </c>
      <c r="L53" s="11">
        <v>51951</v>
      </c>
      <c r="M53" s="51">
        <v>34621</v>
      </c>
      <c r="N53" s="51">
        <v>34621</v>
      </c>
      <c r="O53" s="51">
        <v>34621</v>
      </c>
      <c r="P53" s="51">
        <v>34621</v>
      </c>
      <c r="Q53" s="51">
        <v>34621</v>
      </c>
    </row>
    <row r="54" spans="2:17" x14ac:dyDescent="0.25">
      <c r="D54" s="50" t="s">
        <v>33</v>
      </c>
      <c r="E54" s="50"/>
      <c r="F54" s="50"/>
      <c r="G54" s="50"/>
      <c r="H54" s="8" t="s">
        <v>8</v>
      </c>
      <c r="I54" s="13">
        <v>3827</v>
      </c>
      <c r="J54" s="13">
        <v>9999</v>
      </c>
      <c r="K54" s="13">
        <v>23065</v>
      </c>
      <c r="L54" s="11">
        <v>38466</v>
      </c>
      <c r="M54" s="333">
        <v>36904</v>
      </c>
      <c r="N54" s="333">
        <v>55356.000000000007</v>
      </c>
      <c r="O54" s="333">
        <v>77498.399999999994</v>
      </c>
      <c r="P54" s="333">
        <v>100747.92000000001</v>
      </c>
      <c r="Q54" s="333">
        <v>120897.50400000002</v>
      </c>
    </row>
    <row r="55" spans="2:17" x14ac:dyDescent="0.25">
      <c r="D55" s="50" t="s">
        <v>34</v>
      </c>
      <c r="E55" s="50"/>
      <c r="F55" s="50"/>
      <c r="G55" s="50"/>
      <c r="H55" s="8" t="s">
        <v>8</v>
      </c>
      <c r="I55" s="13">
        <v>5159</v>
      </c>
      <c r="J55" s="13">
        <v>5282</v>
      </c>
      <c r="K55" s="13">
        <v>10080</v>
      </c>
      <c r="L55" s="11">
        <v>21403</v>
      </c>
      <c r="M55" s="51">
        <v>13378.720053781515</v>
      </c>
      <c r="N55" s="51">
        <v>19900.846080000003</v>
      </c>
      <c r="O55" s="51">
        <v>27627.056911058826</v>
      </c>
      <c r="P55" s="51">
        <v>35610.808103152944</v>
      </c>
      <c r="Q55" s="51">
        <v>42367.730666315299</v>
      </c>
    </row>
    <row r="56" spans="2:17" x14ac:dyDescent="0.25">
      <c r="D56" s="50" t="s">
        <v>35</v>
      </c>
      <c r="E56" s="50"/>
      <c r="F56" s="50"/>
      <c r="G56" s="50"/>
      <c r="H56" s="8" t="s">
        <v>8</v>
      </c>
      <c r="I56" s="13">
        <v>791</v>
      </c>
      <c r="J56" s="13">
        <v>3080</v>
      </c>
      <c r="K56" s="13">
        <v>3771</v>
      </c>
      <c r="L56" s="11">
        <v>3180</v>
      </c>
      <c r="M56" s="333">
        <v>6033.6</v>
      </c>
      <c r="N56" s="333">
        <v>9050.4</v>
      </c>
      <c r="O56" s="333">
        <v>12670.56</v>
      </c>
      <c r="P56" s="333">
        <v>16471.727999999999</v>
      </c>
      <c r="Q56" s="333">
        <v>19766.0736</v>
      </c>
    </row>
    <row r="57" spans="2:17" x14ac:dyDescent="0.25">
      <c r="D57" s="52" t="s">
        <v>36</v>
      </c>
      <c r="E57" s="52"/>
      <c r="F57" s="52"/>
      <c r="G57" s="52"/>
      <c r="H57" s="15" t="s">
        <v>8</v>
      </c>
      <c r="I57" s="53">
        <v>23073</v>
      </c>
      <c r="J57" s="53">
        <v>44345</v>
      </c>
      <c r="K57" s="53">
        <v>80126</v>
      </c>
      <c r="L57" s="255">
        <v>125605</v>
      </c>
      <c r="M57" s="85">
        <v>196586.61288879393</v>
      </c>
      <c r="N57" s="85">
        <v>275214.87679229258</v>
      </c>
      <c r="O57" s="85">
        <v>395655.32317061437</v>
      </c>
      <c r="P57" s="85">
        <v>503156.7351478326</v>
      </c>
      <c r="Q57" s="85">
        <v>604053.57833264559</v>
      </c>
    </row>
    <row r="58" spans="2:17" ht="6.2" customHeight="1" x14ac:dyDescent="0.25">
      <c r="D58" s="54"/>
      <c r="E58" s="54"/>
      <c r="F58" s="54"/>
      <c r="G58" s="54"/>
      <c r="H58" s="8"/>
      <c r="I58" s="55"/>
      <c r="J58" s="55"/>
      <c r="K58" s="55"/>
      <c r="L58" s="56"/>
      <c r="M58" s="55"/>
      <c r="N58" s="55"/>
      <c r="O58" s="55"/>
      <c r="P58" s="55"/>
      <c r="Q58" s="55"/>
    </row>
    <row r="59" spans="2:17" ht="14.45" customHeight="1" x14ac:dyDescent="0.25">
      <c r="D59" s="50" t="s">
        <v>37</v>
      </c>
      <c r="E59" s="50"/>
      <c r="F59" s="50"/>
      <c r="G59" s="50"/>
      <c r="H59" s="8" t="s">
        <v>8</v>
      </c>
      <c r="I59" s="13">
        <v>3807</v>
      </c>
      <c r="J59" s="13">
        <v>3914</v>
      </c>
      <c r="K59" s="13">
        <v>6283</v>
      </c>
      <c r="L59" s="11">
        <v>10383</v>
      </c>
      <c r="M59" s="333">
        <v>9833.2899249619604</v>
      </c>
      <c r="N59" s="333">
        <v>15158.724812404904</v>
      </c>
      <c r="O59" s="333">
        <v>22614.333654825023</v>
      </c>
      <c r="P59" s="333">
        <v>32306.62514997118</v>
      </c>
      <c r="Q59" s="333">
        <v>43937.374944146562</v>
      </c>
    </row>
    <row r="60" spans="2:17" ht="14.45" customHeight="1" x14ac:dyDescent="0.25">
      <c r="D60" s="50" t="s">
        <v>38</v>
      </c>
      <c r="E60" s="50"/>
      <c r="F60" s="50"/>
      <c r="G60" s="50"/>
      <c r="H60" s="8" t="s">
        <v>8</v>
      </c>
      <c r="I60" s="13">
        <v>9930</v>
      </c>
      <c r="J60" s="13">
        <v>13039</v>
      </c>
      <c r="K60" s="13">
        <v>20004</v>
      </c>
      <c r="L60" s="11">
        <v>49983</v>
      </c>
      <c r="M60" s="51">
        <v>20004</v>
      </c>
      <c r="N60" s="51">
        <v>20004</v>
      </c>
      <c r="O60" s="51">
        <v>20004</v>
      </c>
      <c r="P60" s="51">
        <v>20004</v>
      </c>
      <c r="Q60" s="51">
        <v>20004</v>
      </c>
    </row>
    <row r="61" spans="2:17" ht="14.45" customHeight="1" x14ac:dyDescent="0.25">
      <c r="D61" s="50" t="s">
        <v>39</v>
      </c>
      <c r="E61" s="50"/>
      <c r="F61" s="50"/>
      <c r="G61" s="50"/>
      <c r="H61" s="8" t="s">
        <v>8</v>
      </c>
      <c r="I61" s="13">
        <v>4372</v>
      </c>
      <c r="J61" s="13">
        <v>4430</v>
      </c>
      <c r="K61" s="13">
        <v>5188</v>
      </c>
      <c r="L61" s="11">
        <v>20832</v>
      </c>
      <c r="M61" s="254">
        <v>5188</v>
      </c>
      <c r="N61" s="51">
        <v>5188</v>
      </c>
      <c r="O61" s="51">
        <v>5188</v>
      </c>
      <c r="P61" s="51">
        <v>5188</v>
      </c>
      <c r="Q61" s="51">
        <v>5188</v>
      </c>
    </row>
    <row r="62" spans="2:17" ht="15" customHeight="1" thickBot="1" x14ac:dyDescent="0.3">
      <c r="D62" s="57" t="s">
        <v>40</v>
      </c>
      <c r="E62" s="57"/>
      <c r="F62" s="57"/>
      <c r="G62" s="57"/>
      <c r="H62" s="58" t="s">
        <v>8</v>
      </c>
      <c r="I62" s="59">
        <v>41182</v>
      </c>
      <c r="J62" s="59">
        <v>65728</v>
      </c>
      <c r="K62" s="59">
        <v>111601</v>
      </c>
      <c r="L62" s="256">
        <v>206803</v>
      </c>
      <c r="M62" s="89">
        <v>231611.90281375588</v>
      </c>
      <c r="N62" s="89">
        <v>315565.60160469747</v>
      </c>
      <c r="O62" s="89">
        <v>443461.65682543942</v>
      </c>
      <c r="P62" s="89">
        <v>560655.36029780377</v>
      </c>
      <c r="Q62" s="89">
        <v>673182.95327679219</v>
      </c>
    </row>
    <row r="63" spans="2:17" ht="15" customHeight="1" thickTop="1" x14ac:dyDescent="0.25">
      <c r="D63" s="60"/>
      <c r="E63" s="60"/>
      <c r="F63" s="60"/>
      <c r="G63" s="60"/>
      <c r="H63" s="8"/>
      <c r="I63" s="55"/>
      <c r="J63" s="55"/>
      <c r="K63" s="55"/>
      <c r="L63" s="56"/>
      <c r="M63" s="55"/>
      <c r="N63" s="55"/>
      <c r="O63" s="55"/>
      <c r="P63" s="55"/>
      <c r="Q63" s="55"/>
    </row>
    <row r="64" spans="2:17" ht="14.45" customHeight="1" x14ac:dyDescent="0.25">
      <c r="D64" s="61" t="s">
        <v>41</v>
      </c>
      <c r="E64" s="61"/>
      <c r="F64" s="61"/>
      <c r="G64" s="61"/>
      <c r="H64" s="8" t="s">
        <v>8</v>
      </c>
      <c r="I64" s="13">
        <v>1193</v>
      </c>
      <c r="J64" s="13">
        <v>2699</v>
      </c>
      <c r="K64" s="13">
        <v>6310</v>
      </c>
      <c r="L64" s="11">
        <v>9812</v>
      </c>
      <c r="M64" s="333">
        <v>8374.9725733493397</v>
      </c>
      <c r="N64" s="333">
        <v>12457.771702857144</v>
      </c>
      <c r="O64" s="333">
        <v>17294.318363966388</v>
      </c>
      <c r="P64" s="333">
        <v>22292.083247112605</v>
      </c>
      <c r="Q64" s="333">
        <v>26521.863145282688</v>
      </c>
    </row>
    <row r="65" spans="4:19" ht="14.45" customHeight="1" x14ac:dyDescent="0.25">
      <c r="D65" s="61" t="s">
        <v>210</v>
      </c>
      <c r="E65" s="61"/>
      <c r="F65" s="61"/>
      <c r="G65" s="61"/>
      <c r="H65" s="8"/>
      <c r="I65" s="13">
        <v>1250</v>
      </c>
      <c r="J65" s="13">
        <v>1250</v>
      </c>
      <c r="K65" s="13">
        <v>0</v>
      </c>
      <c r="L65" s="11">
        <v>999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</row>
    <row r="66" spans="4:19" ht="14.45" customHeight="1" x14ac:dyDescent="0.25">
      <c r="D66" s="61" t="s">
        <v>42</v>
      </c>
      <c r="E66" s="61"/>
      <c r="F66" s="61"/>
      <c r="G66" s="61"/>
      <c r="H66" s="8" t="s">
        <v>8</v>
      </c>
      <c r="I66" s="13">
        <v>4120</v>
      </c>
      <c r="J66" s="13">
        <v>6682</v>
      </c>
      <c r="K66" s="13">
        <v>11737</v>
      </c>
      <c r="L66" s="11">
        <v>21352</v>
      </c>
      <c r="M66" s="333">
        <v>9222.4000000000015</v>
      </c>
      <c r="N66" s="333">
        <v>13833.600000000002</v>
      </c>
      <c r="O66" s="333">
        <v>19367.04</v>
      </c>
      <c r="P66" s="333">
        <v>25177.152000000002</v>
      </c>
      <c r="Q66" s="333">
        <v>30212.582400000003</v>
      </c>
    </row>
    <row r="67" spans="4:19" ht="15" customHeight="1" x14ac:dyDescent="0.25">
      <c r="D67" s="62" t="s">
        <v>43</v>
      </c>
      <c r="E67" s="62"/>
      <c r="F67" s="62"/>
      <c r="G67" s="62"/>
      <c r="H67" s="63" t="s">
        <v>8</v>
      </c>
      <c r="I67" s="53">
        <v>6563</v>
      </c>
      <c r="J67" s="53">
        <v>10631</v>
      </c>
      <c r="K67" s="53">
        <v>18047</v>
      </c>
      <c r="L67" s="255">
        <v>32163</v>
      </c>
      <c r="M67" s="85">
        <v>17597.372573349341</v>
      </c>
      <c r="N67" s="85">
        <v>26291.371702857148</v>
      </c>
      <c r="O67" s="85">
        <v>36661.358363966385</v>
      </c>
      <c r="P67" s="85">
        <v>47469.235247112607</v>
      </c>
      <c r="Q67" s="85">
        <v>56734.445545282695</v>
      </c>
    </row>
    <row r="68" spans="4:19" ht="6.2" customHeight="1" x14ac:dyDescent="0.25">
      <c r="D68" s="64"/>
      <c r="E68" s="64"/>
      <c r="F68" s="64"/>
      <c r="G68" s="64"/>
      <c r="H68" s="8"/>
      <c r="I68" s="55"/>
      <c r="J68" s="55"/>
      <c r="K68" s="55"/>
      <c r="L68" s="56"/>
      <c r="M68" s="55"/>
      <c r="N68" s="55"/>
      <c r="O68" s="55"/>
      <c r="P68" s="55"/>
      <c r="Q68" s="55"/>
    </row>
    <row r="69" spans="4:19" x14ac:dyDescent="0.25">
      <c r="D69" s="61" t="s">
        <v>44</v>
      </c>
      <c r="E69" s="61"/>
      <c r="F69" s="61"/>
      <c r="G69" s="61"/>
      <c r="H69" s="8" t="s">
        <v>8</v>
      </c>
      <c r="I69" s="13">
        <v>9703</v>
      </c>
      <c r="J69" s="13">
        <v>8459</v>
      </c>
      <c r="K69" s="13">
        <v>8463</v>
      </c>
      <c r="L69" s="11">
        <v>7469</v>
      </c>
      <c r="M69" s="333">
        <v>7213</v>
      </c>
      <c r="N69" s="333">
        <v>5963</v>
      </c>
      <c r="O69" s="333">
        <v>4713</v>
      </c>
      <c r="P69" s="333">
        <v>3463</v>
      </c>
      <c r="Q69" s="333">
        <v>2213</v>
      </c>
    </row>
    <row r="70" spans="4:19" x14ac:dyDescent="0.25">
      <c r="D70" s="61" t="s">
        <v>211</v>
      </c>
      <c r="E70" s="61"/>
      <c r="F70" s="61"/>
      <c r="G70" s="61"/>
      <c r="H70" s="8"/>
      <c r="I70" s="13">
        <v>2815</v>
      </c>
      <c r="J70" s="13">
        <v>3660</v>
      </c>
      <c r="K70" s="13">
        <v>5764</v>
      </c>
      <c r="L70" s="11">
        <v>9878</v>
      </c>
      <c r="M70" s="13">
        <v>5764</v>
      </c>
      <c r="N70" s="13">
        <v>5764</v>
      </c>
      <c r="O70" s="13">
        <v>5764</v>
      </c>
      <c r="P70" s="13">
        <v>5764</v>
      </c>
      <c r="Q70" s="13">
        <v>5764</v>
      </c>
    </row>
    <row r="71" spans="4:19" ht="15.75" thickBot="1" x14ac:dyDescent="0.3">
      <c r="D71" s="203" t="s">
        <v>45</v>
      </c>
      <c r="E71" s="203"/>
      <c r="F71" s="203"/>
      <c r="G71" s="203"/>
      <c r="H71" s="58" t="s">
        <v>8</v>
      </c>
      <c r="I71" s="59">
        <v>19081</v>
      </c>
      <c r="J71" s="59">
        <v>22750</v>
      </c>
      <c r="K71" s="59">
        <v>32274</v>
      </c>
      <c r="L71" s="256">
        <v>49510</v>
      </c>
      <c r="M71" s="237">
        <v>30574.372573349341</v>
      </c>
      <c r="N71" s="89">
        <v>38018.371702857148</v>
      </c>
      <c r="O71" s="89">
        <v>47138.358363966385</v>
      </c>
      <c r="P71" s="89">
        <v>56696.235247112607</v>
      </c>
      <c r="Q71" s="338">
        <v>64711.445545282695</v>
      </c>
    </row>
    <row r="72" spans="4:19" ht="6.2" customHeight="1" thickTop="1" x14ac:dyDescent="0.25">
      <c r="D72" s="65"/>
      <c r="E72" s="65"/>
      <c r="F72" s="65"/>
      <c r="G72" s="65"/>
      <c r="H72" s="8"/>
      <c r="I72" s="55"/>
      <c r="J72" s="55"/>
      <c r="K72" s="55"/>
      <c r="L72" s="56"/>
      <c r="M72" s="67"/>
      <c r="N72" s="67"/>
      <c r="O72" s="67"/>
      <c r="P72" s="67"/>
      <c r="Q72" s="67"/>
    </row>
    <row r="73" spans="4:19" x14ac:dyDescent="0.25">
      <c r="D73" s="64" t="s">
        <v>46</v>
      </c>
      <c r="E73" s="64"/>
      <c r="F73" s="64"/>
      <c r="G73" s="64"/>
      <c r="H73" s="8" t="s">
        <v>8</v>
      </c>
      <c r="I73" s="334">
        <v>22101</v>
      </c>
      <c r="J73" s="334">
        <v>42978</v>
      </c>
      <c r="K73" s="334">
        <v>79327</v>
      </c>
      <c r="L73" s="257">
        <v>157293</v>
      </c>
      <c r="M73" s="333">
        <v>201037.53024040657</v>
      </c>
      <c r="N73" s="333">
        <v>277547.22990184033</v>
      </c>
      <c r="O73" s="333">
        <v>396323.29846147279</v>
      </c>
      <c r="P73" s="333">
        <v>503959.12505069084</v>
      </c>
      <c r="Q73" s="333">
        <v>608471.50773150928</v>
      </c>
    </row>
    <row r="74" spans="4:19" ht="6.2" customHeight="1" x14ac:dyDescent="0.25">
      <c r="D74" s="64"/>
      <c r="E74" s="64"/>
      <c r="F74" s="64"/>
      <c r="G74" s="64"/>
      <c r="H74" s="8"/>
      <c r="I74" s="55"/>
      <c r="J74" s="55"/>
      <c r="K74" s="55"/>
      <c r="L74" s="56"/>
      <c r="M74" s="66"/>
      <c r="N74" s="66"/>
      <c r="O74" s="66"/>
      <c r="P74" s="66"/>
      <c r="Q74" s="66"/>
    </row>
    <row r="75" spans="4:19" ht="15.75" thickBot="1" x14ac:dyDescent="0.3">
      <c r="D75" s="57" t="s">
        <v>47</v>
      </c>
      <c r="E75" s="57"/>
      <c r="F75" s="57"/>
      <c r="G75" s="57"/>
      <c r="H75" s="58" t="s">
        <v>8</v>
      </c>
      <c r="I75" s="59">
        <v>41182</v>
      </c>
      <c r="J75" s="59">
        <v>65728</v>
      </c>
      <c r="K75" s="59">
        <v>111601</v>
      </c>
      <c r="L75" s="256">
        <v>206803</v>
      </c>
      <c r="M75" s="89">
        <v>231611.90281375591</v>
      </c>
      <c r="N75" s="89">
        <v>315565.60160469747</v>
      </c>
      <c r="O75" s="89">
        <v>443461.65682543919</v>
      </c>
      <c r="P75" s="89">
        <v>560655.36029780342</v>
      </c>
      <c r="Q75" s="338">
        <v>673182.95327679196</v>
      </c>
    </row>
    <row r="76" spans="4:19" ht="15.75" thickTop="1" x14ac:dyDescent="0.25">
      <c r="D76" s="68" t="s">
        <v>48</v>
      </c>
      <c r="E76" s="68"/>
      <c r="F76" s="68"/>
      <c r="G76" s="68"/>
      <c r="H76" s="35"/>
      <c r="I76" s="220" t="b">
        <v>1</v>
      </c>
      <c r="J76" s="220" t="b">
        <v>1</v>
      </c>
      <c r="K76" s="220" t="b">
        <v>1</v>
      </c>
      <c r="L76" s="224" t="b">
        <v>1</v>
      </c>
      <c r="M76" s="220" t="b">
        <v>1</v>
      </c>
      <c r="N76" s="220" t="b">
        <v>1</v>
      </c>
      <c r="O76" s="220" t="b">
        <v>1</v>
      </c>
      <c r="P76" s="220" t="b">
        <v>1</v>
      </c>
      <c r="Q76" s="220" t="b">
        <v>1</v>
      </c>
      <c r="R76" s="135"/>
    </row>
    <row r="77" spans="4:19" x14ac:dyDescent="0.25">
      <c r="H77" s="9"/>
      <c r="I77" s="222"/>
      <c r="J77" s="222"/>
      <c r="K77" s="222"/>
      <c r="L77" s="225"/>
      <c r="M77" s="26"/>
      <c r="N77" s="227">
        <f>ROUND(N75,2)</f>
        <v>315565.59999999998</v>
      </c>
      <c r="O77" s="222"/>
      <c r="P77" s="222"/>
      <c r="Q77" s="227">
        <f>ROUND(Q62,2)</f>
        <v>673182.95</v>
      </c>
    </row>
    <row r="78" spans="4:19" x14ac:dyDescent="0.25">
      <c r="D78" s="32" t="s">
        <v>49</v>
      </c>
      <c r="E78" s="32"/>
      <c r="F78" s="32"/>
      <c r="G78" s="32"/>
      <c r="H78" s="47" t="s">
        <v>6</v>
      </c>
      <c r="I78"/>
      <c r="J78" s="336"/>
      <c r="K78"/>
      <c r="L78" s="226"/>
      <c r="M78" s="222"/>
      <c r="N78" s="228">
        <f>ROUND(N62,2)</f>
        <v>315565.59999999998</v>
      </c>
      <c r="O78"/>
      <c r="P78"/>
      <c r="Q78" s="261">
        <f>ROUND(Q75,2)</f>
        <v>673182.95</v>
      </c>
    </row>
    <row r="79" spans="4:19" ht="3.95" customHeight="1" x14ac:dyDescent="0.25">
      <c r="H79" s="9"/>
      <c r="K79" s="1">
        <v>0</v>
      </c>
      <c r="L79" s="33">
        <v>0</v>
      </c>
      <c r="S79" s="5" t="s">
        <v>20</v>
      </c>
    </row>
    <row r="80" spans="4:19" x14ac:dyDescent="0.25">
      <c r="D80" s="69" t="s">
        <v>50</v>
      </c>
      <c r="E80" s="69"/>
      <c r="F80" s="69"/>
      <c r="G80" s="69"/>
      <c r="H80" s="70" t="s">
        <v>22</v>
      </c>
      <c r="I80" s="71">
        <f t="shared" ref="I80:L81" si="0">I54/I12</f>
        <v>0.14187736338696522</v>
      </c>
      <c r="J80" s="71">
        <f t="shared" si="0"/>
        <v>0.1641279012507797</v>
      </c>
      <c r="K80" s="71">
        <f t="shared" si="0"/>
        <v>0.17674735817681633</v>
      </c>
      <c r="L80" s="72">
        <f t="shared" si="0"/>
        <v>0.17813446452222398</v>
      </c>
      <c r="M80" s="79">
        <f>L80</f>
        <v>0.17813446452222398</v>
      </c>
      <c r="N80" s="73">
        <f t="shared" ref="N80:Q86" si="1">M80</f>
        <v>0.17813446452222398</v>
      </c>
      <c r="O80" s="73">
        <f t="shared" si="1"/>
        <v>0.17813446452222398</v>
      </c>
      <c r="P80" s="73">
        <f t="shared" si="1"/>
        <v>0.17813446452222398</v>
      </c>
      <c r="Q80" s="73">
        <f t="shared" si="1"/>
        <v>0.17813446452222398</v>
      </c>
    </row>
    <row r="81" spans="2:17" x14ac:dyDescent="0.25">
      <c r="D81" s="69" t="s">
        <v>51</v>
      </c>
      <c r="E81" s="69"/>
      <c r="F81" s="69"/>
      <c r="G81" s="69"/>
      <c r="H81" s="70" t="s">
        <v>22</v>
      </c>
      <c r="I81" s="71">
        <f t="shared" si="0"/>
        <v>0.44405233258736443</v>
      </c>
      <c r="J81" s="71">
        <f t="shared" si="0"/>
        <v>0.31779074664580953</v>
      </c>
      <c r="K81" s="71">
        <f t="shared" si="0"/>
        <v>0.30883299120683844</v>
      </c>
      <c r="L81" s="72">
        <f t="shared" si="0"/>
        <v>0.34258503401360546</v>
      </c>
      <c r="M81" s="71">
        <f>L81</f>
        <v>0.34258503401360546</v>
      </c>
      <c r="N81" s="71">
        <f>M81</f>
        <v>0.34258503401360546</v>
      </c>
      <c r="O81" s="71">
        <f>N81</f>
        <v>0.34258503401360546</v>
      </c>
      <c r="P81" s="71">
        <f>O81</f>
        <v>0.34258503401360546</v>
      </c>
      <c r="Q81" s="71">
        <f>P81</f>
        <v>0.34258503401360546</v>
      </c>
    </row>
    <row r="82" spans="2:17" x14ac:dyDescent="0.25">
      <c r="D82" s="69" t="s">
        <v>52</v>
      </c>
      <c r="E82" s="69"/>
      <c r="F82" s="69"/>
      <c r="G82" s="69"/>
      <c r="H82" s="70" t="s">
        <v>22</v>
      </c>
      <c r="I82" s="71">
        <f t="shared" ref="I82:L82" si="2">I56/I12</f>
        <v>2.9324534737154295E-2</v>
      </c>
      <c r="J82" s="71">
        <f t="shared" si="2"/>
        <v>5.0556449230163163E-2</v>
      </c>
      <c r="K82" s="71">
        <f t="shared" si="2"/>
        <v>2.8897216027954666E-2</v>
      </c>
      <c r="L82" s="72">
        <f t="shared" si="2"/>
        <v>1.4726449258583482E-2</v>
      </c>
      <c r="M82" s="79">
        <f>L82</f>
        <v>1.4726449258583482E-2</v>
      </c>
      <c r="N82" s="73">
        <f t="shared" si="1"/>
        <v>1.4726449258583482E-2</v>
      </c>
      <c r="O82" s="73">
        <f t="shared" si="1"/>
        <v>1.4726449258583482E-2</v>
      </c>
      <c r="P82" s="73">
        <f t="shared" si="1"/>
        <v>1.4726449258583482E-2</v>
      </c>
      <c r="Q82" s="73">
        <f t="shared" si="1"/>
        <v>1.4726449258583482E-2</v>
      </c>
    </row>
    <row r="83" spans="2:17" x14ac:dyDescent="0.25">
      <c r="D83" s="74" t="s">
        <v>53</v>
      </c>
      <c r="E83" s="74"/>
      <c r="F83" s="74"/>
      <c r="G83" s="74"/>
      <c r="H83" s="70" t="s">
        <v>8</v>
      </c>
      <c r="I83" s="337">
        <f t="shared" ref="I83:J83" si="3">-I110</f>
        <v>1833</v>
      </c>
      <c r="J83" s="337">
        <f t="shared" si="3"/>
        <v>1069</v>
      </c>
      <c r="K83" s="337">
        <f>-K110</f>
        <v>3236</v>
      </c>
      <c r="L83" s="75">
        <f>-L110</f>
        <v>6042</v>
      </c>
      <c r="M83" s="77">
        <f>M84 * M12</f>
        <v>11943.885976382551</v>
      </c>
      <c r="N83" s="77">
        <f>N84 * N12</f>
        <v>17915.82896457383</v>
      </c>
      <c r="O83" s="77">
        <f>O84 * O12</f>
        <v>25082.160550403358</v>
      </c>
      <c r="P83" s="77">
        <f>P84 * P12</f>
        <v>32606.808715524367</v>
      </c>
      <c r="Q83" s="77">
        <f>Q84 * Q12</f>
        <v>39128.17045862924</v>
      </c>
    </row>
    <row r="84" spans="2:17" x14ac:dyDescent="0.25">
      <c r="D84" s="74" t="s">
        <v>54</v>
      </c>
      <c r="E84" s="74"/>
      <c r="F84" s="74"/>
      <c r="G84" s="74"/>
      <c r="H84" s="70"/>
      <c r="I84" s="82">
        <f t="shared" ref="I84:L84" si="4">I83/I12</f>
        <v>6.7954326388373995E-2</v>
      </c>
      <c r="J84" s="82">
        <f t="shared" si="4"/>
        <v>1.7547027346442992E-2</v>
      </c>
      <c r="K84" s="82">
        <f t="shared" si="4"/>
        <v>2.4797504923484832E-2</v>
      </c>
      <c r="L84" s="78">
        <f t="shared" si="4"/>
        <v>2.7980253591308617E-2</v>
      </c>
      <c r="M84" s="79">
        <f>AVERAGE(I84:L84)</f>
        <v>3.4569778062402606E-2</v>
      </c>
      <c r="N84" s="79">
        <f>M84</f>
        <v>3.4569778062402606E-2</v>
      </c>
      <c r="O84" s="79">
        <f t="shared" ref="O84:Q84" si="5">N84</f>
        <v>3.4569778062402606E-2</v>
      </c>
      <c r="P84" s="79">
        <f t="shared" si="5"/>
        <v>3.4569778062402606E-2</v>
      </c>
      <c r="Q84" s="79">
        <f t="shared" si="5"/>
        <v>3.4569778062402606E-2</v>
      </c>
    </row>
    <row r="85" spans="2:17" x14ac:dyDescent="0.25">
      <c r="D85" s="80" t="s">
        <v>55</v>
      </c>
      <c r="E85" s="80"/>
      <c r="F85" s="80"/>
      <c r="G85" s="80"/>
      <c r="H85" s="70" t="s">
        <v>22</v>
      </c>
      <c r="I85" s="71">
        <f t="shared" ref="I85:L85" si="6">I64/I13</f>
        <v>0.1026854880358065</v>
      </c>
      <c r="J85" s="71">
        <f t="shared" si="6"/>
        <v>0.16238493472113591</v>
      </c>
      <c r="K85" s="71">
        <f t="shared" si="6"/>
        <v>0.19332700143999509</v>
      </c>
      <c r="L85" s="72">
        <f t="shared" si="6"/>
        <v>0.15705482192877152</v>
      </c>
      <c r="M85" s="79">
        <f>L85</f>
        <v>0.15705482192877152</v>
      </c>
      <c r="N85" s="73">
        <f t="shared" si="1"/>
        <v>0.15705482192877152</v>
      </c>
      <c r="O85" s="73">
        <f t="shared" si="1"/>
        <v>0.15705482192877152</v>
      </c>
      <c r="P85" s="73">
        <f t="shared" si="1"/>
        <v>0.15705482192877152</v>
      </c>
      <c r="Q85" s="73">
        <f t="shared" si="1"/>
        <v>0.15705482192877152</v>
      </c>
    </row>
    <row r="86" spans="2:17" x14ac:dyDescent="0.25">
      <c r="D86" s="69" t="s">
        <v>56</v>
      </c>
      <c r="E86" s="80"/>
      <c r="F86" s="80"/>
      <c r="G86" s="80"/>
      <c r="H86" s="70" t="s">
        <v>22</v>
      </c>
      <c r="I86" s="71">
        <f t="shared" ref="I86:L86" si="7">I70/I12</f>
        <v>0.10435975383702825</v>
      </c>
      <c r="J86" s="71">
        <f t="shared" si="7"/>
        <v>6.007681953973934E-2</v>
      </c>
      <c r="K86" s="71">
        <f t="shared" si="7"/>
        <v>4.4169597768531077E-2</v>
      </c>
      <c r="L86" s="72">
        <f t="shared" si="7"/>
        <v>4.5744611879335734E-2</v>
      </c>
      <c r="M86" s="79">
        <f>L86</f>
        <v>4.5744611879335734E-2</v>
      </c>
      <c r="N86" s="73">
        <f t="shared" si="1"/>
        <v>4.5744611879335734E-2</v>
      </c>
      <c r="O86" s="73">
        <f t="shared" si="1"/>
        <v>4.5744611879335734E-2</v>
      </c>
      <c r="P86" s="73">
        <f t="shared" si="1"/>
        <v>4.5744611879335734E-2</v>
      </c>
      <c r="Q86" s="73">
        <f t="shared" si="1"/>
        <v>4.5744611879335734E-2</v>
      </c>
    </row>
    <row r="87" spans="2:17" x14ac:dyDescent="0.25">
      <c r="D87" s="80" t="s">
        <v>57</v>
      </c>
      <c r="E87" s="80"/>
      <c r="F87" s="80"/>
      <c r="G87" s="80"/>
      <c r="H87" s="70" t="s">
        <v>8</v>
      </c>
      <c r="I87" s="82"/>
      <c r="J87" s="82"/>
      <c r="K87" s="82"/>
      <c r="L87" s="78"/>
      <c r="M87" s="10">
        <v>1250</v>
      </c>
      <c r="N87" s="10">
        <v>1250</v>
      </c>
      <c r="O87" s="10">
        <v>1250</v>
      </c>
      <c r="P87" s="10">
        <v>1250</v>
      </c>
      <c r="Q87" s="10">
        <v>1250</v>
      </c>
    </row>
    <row r="88" spans="2:17" x14ac:dyDescent="0.25">
      <c r="D88" s="80"/>
      <c r="E88" s="80"/>
      <c r="F88" s="80"/>
      <c r="G88" s="80"/>
      <c r="H88" s="70"/>
      <c r="I88" s="81"/>
      <c r="J88" s="82"/>
      <c r="K88" s="82"/>
      <c r="L88" s="82"/>
      <c r="M88" s="76"/>
      <c r="N88" s="76"/>
      <c r="O88" s="76"/>
      <c r="P88" s="76"/>
      <c r="Q88" s="76"/>
    </row>
    <row r="89" spans="2:17" x14ac:dyDescent="0.25">
      <c r="D89" s="80"/>
      <c r="E89" s="80"/>
      <c r="F89" s="80"/>
      <c r="G89" s="80"/>
      <c r="H89" s="70"/>
      <c r="I89" s="81"/>
      <c r="J89" s="82"/>
      <c r="K89" s="82"/>
      <c r="L89" s="82"/>
      <c r="M89" s="76"/>
      <c r="N89" s="76"/>
      <c r="O89" s="76"/>
      <c r="P89" s="76"/>
      <c r="Q89" s="76"/>
    </row>
    <row r="90" spans="2:17" x14ac:dyDescent="0.25">
      <c r="D90" s="80"/>
      <c r="E90" s="80"/>
      <c r="F90" s="80"/>
      <c r="G90" s="80"/>
      <c r="H90" s="70"/>
      <c r="I90" s="81"/>
      <c r="J90" s="82"/>
      <c r="K90" s="82"/>
      <c r="L90" s="82"/>
      <c r="M90" s="76"/>
      <c r="N90" s="76"/>
      <c r="O90" s="76"/>
      <c r="P90" s="76"/>
      <c r="Q90" s="76"/>
    </row>
    <row r="91" spans="2:17" x14ac:dyDescent="0.25">
      <c r="H91" s="9"/>
    </row>
    <row r="92" spans="2:17" s="192" customFormat="1" ht="18" thickBot="1" x14ac:dyDescent="0.35">
      <c r="B92" s="191" t="s">
        <v>58</v>
      </c>
      <c r="D92" s="195" t="s">
        <v>59</v>
      </c>
      <c r="E92" s="193"/>
      <c r="F92" s="193"/>
      <c r="G92" s="194"/>
    </row>
    <row r="93" spans="2:17" x14ac:dyDescent="0.25">
      <c r="H93" s="9"/>
    </row>
    <row r="94" spans="2:17" x14ac:dyDescent="0.25">
      <c r="B94" s="188"/>
      <c r="C94" s="4"/>
      <c r="D94" s="301" t="s">
        <v>59</v>
      </c>
      <c r="E94" s="301"/>
      <c r="F94" s="301"/>
      <c r="G94" s="301"/>
      <c r="H94" s="302"/>
      <c r="I94" s="430" t="s">
        <v>2</v>
      </c>
      <c r="J94" s="430"/>
      <c r="K94" s="430"/>
      <c r="L94" s="431"/>
      <c r="M94" s="286" t="s">
        <v>3</v>
      </c>
      <c r="N94" s="286"/>
      <c r="O94" s="286"/>
      <c r="P94" s="286"/>
      <c r="Q94" s="286"/>
    </row>
    <row r="95" spans="2:17" x14ac:dyDescent="0.25">
      <c r="D95" s="6" t="s">
        <v>5</v>
      </c>
      <c r="E95" s="7"/>
      <c r="F95" s="7"/>
      <c r="G95" s="7"/>
      <c r="H95" s="8" t="s">
        <v>6</v>
      </c>
      <c r="I95" s="303">
        <f>J95-1</f>
        <v>2023</v>
      </c>
      <c r="J95" s="303">
        <f>K95-1</f>
        <v>2024</v>
      </c>
      <c r="K95" s="303">
        <f>L95-1</f>
        <v>2025</v>
      </c>
      <c r="L95" s="304">
        <v>2026</v>
      </c>
      <c r="M95" s="287">
        <f>$M$10</f>
        <v>2027</v>
      </c>
      <c r="N95" s="287">
        <f>$N$10</f>
        <v>2028</v>
      </c>
      <c r="O95" s="287">
        <f>$O$10</f>
        <v>2029</v>
      </c>
      <c r="P95" s="287">
        <f>$P$10</f>
        <v>2030</v>
      </c>
      <c r="Q95" s="287">
        <f>$Q$10</f>
        <v>2031</v>
      </c>
    </row>
    <row r="96" spans="2:17" ht="3.95" customHeight="1" x14ac:dyDescent="0.25">
      <c r="H96" s="9"/>
      <c r="L96" s="221"/>
    </row>
    <row r="97" spans="4:17" x14ac:dyDescent="0.25">
      <c r="D97" s="307" t="s">
        <v>60</v>
      </c>
      <c r="E97" s="307"/>
      <c r="F97" s="307"/>
      <c r="G97" s="307"/>
      <c r="H97" s="308" t="s">
        <v>61</v>
      </c>
      <c r="I97" s="13">
        <v>4368</v>
      </c>
      <c r="J97" s="13">
        <v>29760</v>
      </c>
      <c r="K97" s="13">
        <v>72880</v>
      </c>
      <c r="L97" s="11">
        <v>120067</v>
      </c>
      <c r="M97" s="83">
        <v>187424.5178627836</v>
      </c>
      <c r="N97" s="83">
        <v>290765.91669285751</v>
      </c>
      <c r="O97" s="83">
        <v>404697.81085095712</v>
      </c>
      <c r="P97" s="83">
        <v>526669.73304649524</v>
      </c>
      <c r="Q97" s="83">
        <v>629350.86101666209</v>
      </c>
    </row>
    <row r="98" spans="4:17" x14ac:dyDescent="0.25">
      <c r="D98" s="309" t="s">
        <v>16</v>
      </c>
      <c r="E98" s="309"/>
      <c r="F98" s="309"/>
      <c r="G98" s="309"/>
      <c r="H98" s="308" t="s">
        <v>61</v>
      </c>
      <c r="I98" s="13">
        <v>1544</v>
      </c>
      <c r="J98" s="13">
        <v>1508</v>
      </c>
      <c r="K98" s="13">
        <v>1864</v>
      </c>
      <c r="L98" s="11">
        <v>2843</v>
      </c>
      <c r="M98" s="83">
        <v>4548.8000000000011</v>
      </c>
      <c r="N98" s="83">
        <v>6823.2000000000007</v>
      </c>
      <c r="O98" s="83">
        <v>9552.4800000000014</v>
      </c>
      <c r="P98" s="83">
        <v>12418.224000000002</v>
      </c>
      <c r="Q98" s="83">
        <v>14901.868800000002</v>
      </c>
    </row>
    <row r="99" spans="4:17" x14ac:dyDescent="0.25">
      <c r="D99" s="309" t="s">
        <v>62</v>
      </c>
      <c r="E99" s="309"/>
      <c r="F99" s="309"/>
      <c r="G99" s="309"/>
      <c r="H99" s="308" t="s">
        <v>61</v>
      </c>
      <c r="I99" s="13">
        <v>2709</v>
      </c>
      <c r="J99" s="13">
        <v>3549</v>
      </c>
      <c r="K99" s="13">
        <v>4737</v>
      </c>
      <c r="L99" s="11">
        <v>6386</v>
      </c>
      <c r="M99" s="83">
        <v>1449.6982453904259</v>
      </c>
      <c r="N99" s="83">
        <v>2540.8247756469073</v>
      </c>
      <c r="O99" s="83">
        <v>3557.1546859056693</v>
      </c>
      <c r="P99" s="83">
        <v>4624.301091677371</v>
      </c>
      <c r="Q99" s="83">
        <v>5549.1613100128452</v>
      </c>
    </row>
    <row r="100" spans="4:17" x14ac:dyDescent="0.25">
      <c r="D100" s="310" t="s">
        <v>63</v>
      </c>
      <c r="E100" s="310"/>
      <c r="F100" s="310"/>
      <c r="G100" s="310"/>
      <c r="H100" s="308" t="s">
        <v>61</v>
      </c>
      <c r="I100" s="13">
        <v>-773</v>
      </c>
      <c r="J100" s="13">
        <v>-3005</v>
      </c>
      <c r="K100" s="13">
        <v>-6009</v>
      </c>
      <c r="L100" s="11">
        <v>-10629</v>
      </c>
      <c r="M100" s="10">
        <v>0</v>
      </c>
      <c r="N100" s="83">
        <v>0</v>
      </c>
      <c r="O100" s="83">
        <v>0</v>
      </c>
      <c r="P100" s="83">
        <v>0</v>
      </c>
      <c r="Q100" s="83">
        <v>0</v>
      </c>
    </row>
    <row r="101" spans="4:17" x14ac:dyDescent="0.25">
      <c r="D101" s="311" t="s">
        <v>64</v>
      </c>
      <c r="E101" s="311"/>
      <c r="F101" s="311"/>
      <c r="G101" s="311"/>
      <c r="H101" s="308"/>
      <c r="I101" s="331"/>
      <c r="J101" s="331"/>
      <c r="K101" s="331"/>
      <c r="L101" s="84"/>
      <c r="M101" s="83"/>
      <c r="N101" s="83"/>
      <c r="O101" s="83"/>
      <c r="P101" s="83"/>
      <c r="Q101" s="83"/>
    </row>
    <row r="102" spans="4:17" x14ac:dyDescent="0.25">
      <c r="D102" s="312" t="s">
        <v>65</v>
      </c>
      <c r="E102" s="312"/>
      <c r="F102" s="312"/>
      <c r="G102" s="312"/>
      <c r="H102" s="308" t="s">
        <v>61</v>
      </c>
      <c r="I102" s="13">
        <v>822</v>
      </c>
      <c r="J102" s="13">
        <v>-6172</v>
      </c>
      <c r="K102" s="13">
        <v>-13063</v>
      </c>
      <c r="L102" s="11">
        <v>-15399</v>
      </c>
      <c r="M102" s="333">
        <v>-13839</v>
      </c>
      <c r="N102" s="333">
        <v>-18452.000000000007</v>
      </c>
      <c r="O102" s="333">
        <v>-22142.399999999987</v>
      </c>
      <c r="P102" s="333">
        <v>-23249.520000000019</v>
      </c>
      <c r="Q102" s="333">
        <v>-20149.584000000003</v>
      </c>
    </row>
    <row r="103" spans="4:17" x14ac:dyDescent="0.25">
      <c r="D103" s="312" t="s">
        <v>34</v>
      </c>
      <c r="E103" s="312"/>
      <c r="F103" s="312"/>
      <c r="G103" s="312"/>
      <c r="H103" s="308" t="s">
        <v>61</v>
      </c>
      <c r="I103" s="13">
        <v>-2554</v>
      </c>
      <c r="J103" s="13">
        <v>-98</v>
      </c>
      <c r="K103" s="13">
        <v>-4781</v>
      </c>
      <c r="L103" s="11">
        <v>-11324</v>
      </c>
      <c r="M103" s="51">
        <v>-3298.7200537815152</v>
      </c>
      <c r="N103" s="331">
        <v>-6522.1260262184878</v>
      </c>
      <c r="O103" s="331">
        <v>-7726.2108310588228</v>
      </c>
      <c r="P103" s="331">
        <v>-7983.7511920941179</v>
      </c>
      <c r="Q103" s="331">
        <v>-6756.9225631623558</v>
      </c>
    </row>
    <row r="104" spans="4:17" x14ac:dyDescent="0.25">
      <c r="D104" s="312" t="s">
        <v>35</v>
      </c>
      <c r="E104" s="312"/>
      <c r="F104" s="312"/>
      <c r="G104" s="312"/>
      <c r="H104" s="308" t="s">
        <v>61</v>
      </c>
      <c r="I104" s="13">
        <v>-1517</v>
      </c>
      <c r="J104" s="13">
        <v>-1522</v>
      </c>
      <c r="K104" s="13">
        <v>-395</v>
      </c>
      <c r="L104" s="11">
        <v>577</v>
      </c>
      <c r="M104" s="83">
        <v>-2262.6000000000004</v>
      </c>
      <c r="N104" s="83">
        <v>-3016.7999999999993</v>
      </c>
      <c r="O104" s="83">
        <v>-3620.16</v>
      </c>
      <c r="P104" s="83">
        <v>-3801.1679999999997</v>
      </c>
      <c r="Q104" s="83">
        <v>-3294.3456000000006</v>
      </c>
    </row>
    <row r="105" spans="4:17" x14ac:dyDescent="0.25">
      <c r="D105" s="312" t="s">
        <v>41</v>
      </c>
      <c r="E105" s="312"/>
      <c r="F105" s="312"/>
      <c r="G105" s="312"/>
      <c r="H105" s="308" t="s">
        <v>61</v>
      </c>
      <c r="I105" s="13">
        <v>-551</v>
      </c>
      <c r="J105" s="13">
        <v>1531</v>
      </c>
      <c r="K105" s="13">
        <v>3357</v>
      </c>
      <c r="L105" s="11">
        <v>3096</v>
      </c>
      <c r="M105" s="333">
        <v>2064.9725733493397</v>
      </c>
      <c r="N105" s="333">
        <v>4082.7991295078045</v>
      </c>
      <c r="O105" s="333">
        <v>4836.5466611092434</v>
      </c>
      <c r="P105" s="333">
        <v>4997.7648831462175</v>
      </c>
      <c r="Q105" s="333">
        <v>4229.7798981700835</v>
      </c>
    </row>
    <row r="106" spans="4:17" x14ac:dyDescent="0.25">
      <c r="D106" s="312" t="s">
        <v>42</v>
      </c>
      <c r="E106" s="312"/>
      <c r="F106" s="312"/>
      <c r="G106" s="312"/>
      <c r="H106" s="308" t="s">
        <v>61</v>
      </c>
      <c r="I106" s="13">
        <v>1341</v>
      </c>
      <c r="J106" s="13">
        <v>2025</v>
      </c>
      <c r="K106" s="13">
        <v>4278</v>
      </c>
      <c r="L106" s="11">
        <v>5257</v>
      </c>
      <c r="M106" s="83">
        <v>-2514.5999999999985</v>
      </c>
      <c r="N106" s="83">
        <v>4611.2000000000007</v>
      </c>
      <c r="O106" s="83">
        <v>5533.4399999999987</v>
      </c>
      <c r="P106" s="83">
        <v>5810.112000000001</v>
      </c>
      <c r="Q106" s="83">
        <v>5035.4304000000011</v>
      </c>
    </row>
    <row r="107" spans="4:17" x14ac:dyDescent="0.25">
      <c r="D107" s="312" t="s">
        <v>66</v>
      </c>
      <c r="E107" s="312"/>
      <c r="F107" s="312"/>
      <c r="G107" s="312"/>
      <c r="H107" s="308"/>
      <c r="I107" s="13">
        <v>252</v>
      </c>
      <c r="J107" s="13">
        <v>514</v>
      </c>
      <c r="K107" s="13">
        <v>1221</v>
      </c>
      <c r="L107" s="223">
        <v>1844</v>
      </c>
      <c r="M107" s="83">
        <v>0</v>
      </c>
      <c r="N107" s="83">
        <v>0</v>
      </c>
      <c r="O107" s="83">
        <v>0</v>
      </c>
      <c r="P107" s="83">
        <v>0</v>
      </c>
      <c r="Q107" s="83">
        <v>0</v>
      </c>
    </row>
    <row r="108" spans="4:17" x14ac:dyDescent="0.25">
      <c r="D108" s="313" t="s">
        <v>67</v>
      </c>
      <c r="E108" s="314"/>
      <c r="F108" s="314"/>
      <c r="G108" s="314"/>
      <c r="H108" s="315" t="s">
        <v>61</v>
      </c>
      <c r="I108" s="85">
        <v>5641</v>
      </c>
      <c r="J108" s="85">
        <v>28090</v>
      </c>
      <c r="K108" s="85">
        <v>64089</v>
      </c>
      <c r="L108" s="86">
        <v>102718</v>
      </c>
      <c r="M108" s="85">
        <v>173573.06862774183</v>
      </c>
      <c r="N108" s="85">
        <v>280833.01457179378</v>
      </c>
      <c r="O108" s="85">
        <v>394688.66136691329</v>
      </c>
      <c r="P108" s="85">
        <v>519485.69582922477</v>
      </c>
      <c r="Q108" s="85">
        <v>628866.2492616825</v>
      </c>
    </row>
    <row r="109" spans="4:17" x14ac:dyDescent="0.25">
      <c r="D109" s="316"/>
      <c r="E109" s="316"/>
      <c r="F109" s="316"/>
      <c r="G109" s="316"/>
      <c r="H109" s="308"/>
      <c r="I109" s="331"/>
      <c r="J109" s="331"/>
      <c r="K109" s="331"/>
      <c r="L109" s="84"/>
      <c r="M109" s="83"/>
      <c r="N109" s="83"/>
      <c r="O109" s="83"/>
      <c r="P109" s="83"/>
      <c r="Q109" s="83"/>
    </row>
    <row r="110" spans="4:17" x14ac:dyDescent="0.25">
      <c r="I110" s="13">
        <v>-1833</v>
      </c>
      <c r="J110" s="13">
        <v>-1069</v>
      </c>
      <c r="K110" s="13">
        <v>-3236</v>
      </c>
      <c r="L110" s="11">
        <v>-6042</v>
      </c>
      <c r="M110" s="83">
        <v>-8099.0899249619615</v>
      </c>
      <c r="N110" s="83">
        <v>-12148.634887442942</v>
      </c>
      <c r="O110" s="83">
        <v>-17008.088842420118</v>
      </c>
      <c r="P110" s="83">
        <v>-22110.515495146155</v>
      </c>
      <c r="Q110" s="83">
        <v>-26532.618594175387</v>
      </c>
    </row>
    <row r="111" spans="4:17" x14ac:dyDescent="0.25">
      <c r="D111" s="310" t="s">
        <v>53</v>
      </c>
      <c r="E111" s="310"/>
      <c r="F111" s="310"/>
      <c r="G111" s="310"/>
      <c r="H111" s="308" t="s">
        <v>61</v>
      </c>
      <c r="I111" s="13">
        <v>-126</v>
      </c>
      <c r="J111" s="13">
        <v>-1068</v>
      </c>
      <c r="K111" s="13">
        <v>-2471</v>
      </c>
      <c r="L111" s="11">
        <v>-58118</v>
      </c>
      <c r="M111" s="10">
        <v>0</v>
      </c>
      <c r="N111" s="10">
        <v>0</v>
      </c>
      <c r="O111" s="10">
        <v>0</v>
      </c>
      <c r="P111" s="83">
        <v>0</v>
      </c>
      <c r="Q111" s="83">
        <v>0</v>
      </c>
    </row>
    <row r="112" spans="4:17" x14ac:dyDescent="0.25">
      <c r="D112" s="310" t="s">
        <v>68</v>
      </c>
      <c r="E112" s="310"/>
      <c r="F112" s="310"/>
      <c r="G112" s="310"/>
      <c r="H112" s="308" t="s">
        <v>61</v>
      </c>
      <c r="I112" s="13">
        <v>9334</v>
      </c>
      <c r="J112" s="13">
        <v>-8429</v>
      </c>
      <c r="K112" s="13">
        <v>-14714</v>
      </c>
      <c r="L112" s="11">
        <v>26467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</row>
    <row r="113" spans="4:17" x14ac:dyDescent="0.25">
      <c r="D113" s="310" t="s">
        <v>212</v>
      </c>
      <c r="E113" s="310"/>
      <c r="F113" s="310"/>
      <c r="G113" s="310"/>
      <c r="H113" s="308" t="s">
        <v>61</v>
      </c>
      <c r="I113" s="13"/>
      <c r="J113" s="13"/>
      <c r="K113" s="13"/>
      <c r="L113" s="11">
        <v>-14535</v>
      </c>
      <c r="M113" s="10"/>
      <c r="N113" s="10"/>
      <c r="O113" s="10"/>
      <c r="P113" s="10"/>
      <c r="Q113" s="10"/>
    </row>
    <row r="114" spans="4:17" x14ac:dyDescent="0.25">
      <c r="D114" s="317" t="s">
        <v>69</v>
      </c>
      <c r="E114" s="318"/>
      <c r="F114" s="318"/>
      <c r="G114" s="318"/>
      <c r="H114" s="315" t="s">
        <v>61</v>
      </c>
      <c r="I114" s="85">
        <v>7375</v>
      </c>
      <c r="J114" s="85">
        <v>-10566</v>
      </c>
      <c r="K114" s="85">
        <v>-20421</v>
      </c>
      <c r="L114" s="86">
        <v>-52228</v>
      </c>
      <c r="M114" s="85">
        <v>-8099.0899249619615</v>
      </c>
      <c r="N114" s="85">
        <v>-12148.634887442942</v>
      </c>
      <c r="O114" s="85">
        <v>-17008.088842420118</v>
      </c>
      <c r="P114" s="85">
        <v>-22110.515495146155</v>
      </c>
      <c r="Q114" s="85">
        <v>-26532.618594175387</v>
      </c>
    </row>
    <row r="115" spans="4:17" x14ac:dyDescent="0.25">
      <c r="I115" s="331"/>
      <c r="J115" s="331"/>
      <c r="K115" s="331"/>
      <c r="L115" s="84"/>
      <c r="M115" s="83"/>
      <c r="N115" s="83"/>
      <c r="O115" s="83"/>
      <c r="P115" s="83"/>
      <c r="Q115" s="83"/>
    </row>
    <row r="116" spans="4:17" x14ac:dyDescent="0.25">
      <c r="D116" s="310" t="s">
        <v>70</v>
      </c>
      <c r="E116" s="310"/>
      <c r="F116" s="310"/>
      <c r="G116" s="310"/>
      <c r="H116" s="308" t="s">
        <v>61</v>
      </c>
      <c r="I116" s="13">
        <v>0</v>
      </c>
      <c r="J116" s="13">
        <v>0</v>
      </c>
      <c r="K116" s="13">
        <v>0</v>
      </c>
      <c r="L116" s="11">
        <v>0</v>
      </c>
      <c r="M116" s="10">
        <v>0</v>
      </c>
      <c r="N116" s="83">
        <v>0</v>
      </c>
      <c r="O116" s="83">
        <v>0</v>
      </c>
      <c r="P116" s="83">
        <v>0</v>
      </c>
      <c r="Q116" s="83">
        <v>0</v>
      </c>
    </row>
    <row r="117" spans="4:17" x14ac:dyDescent="0.25">
      <c r="D117" s="310" t="s">
        <v>71</v>
      </c>
      <c r="E117" s="310"/>
      <c r="F117" s="310"/>
      <c r="G117" s="310"/>
      <c r="H117" s="308" t="s">
        <v>61</v>
      </c>
      <c r="I117" s="13">
        <v>0</v>
      </c>
      <c r="J117" s="13">
        <v>-1250</v>
      </c>
      <c r="K117" s="13">
        <v>-1250</v>
      </c>
      <c r="L117" s="11">
        <v>0</v>
      </c>
      <c r="M117" s="83">
        <v>-1250</v>
      </c>
      <c r="N117" s="83">
        <v>-1250</v>
      </c>
      <c r="O117" s="83">
        <v>-1250</v>
      </c>
      <c r="P117" s="83">
        <v>-1250</v>
      </c>
      <c r="Q117" s="83">
        <v>-1250</v>
      </c>
    </row>
    <row r="118" spans="4:17" x14ac:dyDescent="0.25">
      <c r="D118" s="310" t="s">
        <v>213</v>
      </c>
      <c r="E118" s="310"/>
      <c r="F118" s="310"/>
      <c r="G118" s="310"/>
      <c r="H118" s="308" t="s">
        <v>61</v>
      </c>
      <c r="I118" s="13">
        <v>355</v>
      </c>
      <c r="J118" s="13">
        <v>403</v>
      </c>
      <c r="K118" s="13">
        <v>490</v>
      </c>
      <c r="L118" s="11">
        <v>644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</row>
    <row r="119" spans="4:17" x14ac:dyDescent="0.25">
      <c r="D119" s="310" t="s">
        <v>72</v>
      </c>
      <c r="E119" s="310"/>
      <c r="F119" s="310"/>
      <c r="G119" s="310"/>
      <c r="H119" s="308" t="s">
        <v>61</v>
      </c>
      <c r="I119" s="13">
        <v>-398</v>
      </c>
      <c r="J119" s="13">
        <v>-395</v>
      </c>
      <c r="K119" s="13">
        <v>-834</v>
      </c>
      <c r="L119" s="11">
        <v>-974</v>
      </c>
      <c r="M119" s="83">
        <v>-5807.614439196057</v>
      </c>
      <c r="N119" s="83">
        <v>-9009.7942119174004</v>
      </c>
      <c r="O119" s="83">
        <v>-12540.135498866619</v>
      </c>
      <c r="P119" s="83">
        <v>-16319.608454682948</v>
      </c>
      <c r="Q119" s="83">
        <v>-19501.328798597951</v>
      </c>
    </row>
    <row r="120" spans="4:17" x14ac:dyDescent="0.25">
      <c r="D120" s="310" t="s">
        <v>214</v>
      </c>
      <c r="E120" s="310"/>
      <c r="F120" s="310"/>
      <c r="G120" s="310"/>
      <c r="H120" s="308"/>
      <c r="I120" s="13">
        <v>-10039</v>
      </c>
      <c r="J120" s="13">
        <v>-9533</v>
      </c>
      <c r="K120" s="13">
        <v>-33706</v>
      </c>
      <c r="L120" s="11">
        <v>-40086</v>
      </c>
      <c r="M120" s="83">
        <v>-61356.071428571435</v>
      </c>
      <c r="N120" s="83">
        <v>-207787.24759515325</v>
      </c>
      <c r="O120" s="83">
        <v>-276938.76147836359</v>
      </c>
      <c r="P120" s="83">
        <v>-407338.59909427154</v>
      </c>
      <c r="Q120" s="83">
        <v>-510886.31084725854</v>
      </c>
    </row>
    <row r="121" spans="4:17" x14ac:dyDescent="0.25">
      <c r="D121" s="310" t="s">
        <v>63</v>
      </c>
      <c r="E121" s="310"/>
      <c r="F121" s="310"/>
      <c r="G121" s="310"/>
      <c r="H121" s="308"/>
      <c r="I121" s="13">
        <v>-1535</v>
      </c>
      <c r="J121" s="13">
        <v>-2858</v>
      </c>
      <c r="K121" s="13">
        <v>-7059</v>
      </c>
      <c r="L121" s="11">
        <v>-8058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</row>
    <row r="122" spans="4:17" x14ac:dyDescent="0.25">
      <c r="D122" s="313" t="s">
        <v>73</v>
      </c>
      <c r="E122" s="314"/>
      <c r="F122" s="314"/>
      <c r="G122" s="314"/>
      <c r="H122" s="315" t="s">
        <v>61</v>
      </c>
      <c r="I122" s="85">
        <v>-11617</v>
      </c>
      <c r="J122" s="85">
        <v>-13633</v>
      </c>
      <c r="K122" s="85">
        <v>-42359</v>
      </c>
      <c r="L122" s="86">
        <v>-48474</v>
      </c>
      <c r="M122" s="85">
        <v>-68413.68586776749</v>
      </c>
      <c r="N122" s="85">
        <v>-218047.04180707067</v>
      </c>
      <c r="O122" s="85">
        <v>-290728.89697723021</v>
      </c>
      <c r="P122" s="85">
        <v>-424908.20754895447</v>
      </c>
      <c r="Q122" s="85">
        <v>-531637.63964585646</v>
      </c>
    </row>
    <row r="123" spans="4:17" x14ac:dyDescent="0.25">
      <c r="I123" s="331"/>
      <c r="J123" s="331"/>
      <c r="K123" s="331"/>
      <c r="L123" s="84"/>
      <c r="M123" s="83"/>
      <c r="N123" s="83"/>
      <c r="O123" s="83"/>
      <c r="P123" s="83"/>
      <c r="Q123" s="83"/>
    </row>
    <row r="124" spans="4:17" x14ac:dyDescent="0.25">
      <c r="D124" s="319" t="s">
        <v>74</v>
      </c>
      <c r="E124" s="316"/>
      <c r="F124" s="316"/>
      <c r="G124" s="316"/>
      <c r="H124" s="308"/>
      <c r="I124" s="13">
        <v>0</v>
      </c>
      <c r="J124" s="13">
        <v>0</v>
      </c>
      <c r="K124" s="13">
        <v>0</v>
      </c>
      <c r="L124" s="11">
        <v>0</v>
      </c>
      <c r="M124" s="83">
        <v>0</v>
      </c>
      <c r="N124" s="83">
        <v>0</v>
      </c>
      <c r="O124" s="83">
        <v>0</v>
      </c>
      <c r="P124" s="83">
        <v>0</v>
      </c>
      <c r="Q124" s="83">
        <v>0</v>
      </c>
    </row>
    <row r="125" spans="4:17" x14ac:dyDescent="0.25">
      <c r="D125" s="320" t="s">
        <v>75</v>
      </c>
      <c r="E125" s="320"/>
      <c r="F125" s="320"/>
      <c r="G125" s="320"/>
      <c r="H125" s="321" t="s">
        <v>61</v>
      </c>
      <c r="I125" s="87">
        <v>1399</v>
      </c>
      <c r="J125" s="87">
        <v>3891</v>
      </c>
      <c r="K125" s="87">
        <v>1309</v>
      </c>
      <c r="L125" s="88">
        <v>2016</v>
      </c>
      <c r="M125" s="258">
        <v>97060.292835012369</v>
      </c>
      <c r="N125" s="238">
        <v>50637.337877280166</v>
      </c>
      <c r="O125" s="238">
        <v>86951.675547262945</v>
      </c>
      <c r="P125" s="238">
        <v>72466.972785124148</v>
      </c>
      <c r="Q125" s="238">
        <v>70695.99102165061</v>
      </c>
    </row>
    <row r="126" spans="4:17" x14ac:dyDescent="0.25">
      <c r="D126" s="339" t="s">
        <v>76</v>
      </c>
      <c r="E126" s="310"/>
      <c r="F126" s="310"/>
      <c r="G126" s="310"/>
      <c r="H126" s="308" t="s">
        <v>61</v>
      </c>
      <c r="I126" s="331">
        <v>1990</v>
      </c>
      <c r="J126" s="331">
        <v>3389</v>
      </c>
      <c r="K126" s="331">
        <v>7280</v>
      </c>
      <c r="L126" s="84">
        <v>8589</v>
      </c>
      <c r="M126" s="258">
        <v>10605</v>
      </c>
      <c r="N126" s="238">
        <v>105649.2928350124</v>
      </c>
      <c r="O126" s="238">
        <v>156286.63071229256</v>
      </c>
      <c r="P126" s="238">
        <v>243238.30625955551</v>
      </c>
      <c r="Q126" s="238">
        <v>315705.27904467966</v>
      </c>
    </row>
    <row r="127" spans="4:17" x14ac:dyDescent="0.25">
      <c r="D127" s="340" t="s">
        <v>63</v>
      </c>
      <c r="E127" s="341"/>
      <c r="F127" s="341"/>
      <c r="G127" s="341"/>
      <c r="H127" s="341"/>
      <c r="I127" s="87">
        <v>0</v>
      </c>
      <c r="J127" s="87">
        <v>0</v>
      </c>
      <c r="K127" s="87">
        <v>0</v>
      </c>
      <c r="L127" s="88">
        <v>0</v>
      </c>
      <c r="M127" s="322">
        <v>-2015.9999999999709</v>
      </c>
      <c r="N127" s="323">
        <v>0</v>
      </c>
      <c r="O127" s="323">
        <v>0</v>
      </c>
      <c r="P127" s="323">
        <v>0</v>
      </c>
      <c r="Q127" s="323">
        <v>0</v>
      </c>
    </row>
    <row r="128" spans="4:17" ht="15.75" thickBot="1" x14ac:dyDescent="0.3">
      <c r="D128" s="324" t="s">
        <v>77</v>
      </c>
      <c r="E128" s="325"/>
      <c r="F128" s="325"/>
      <c r="G128" s="325"/>
      <c r="H128" s="326" t="s">
        <v>61</v>
      </c>
      <c r="I128" s="89">
        <v>3389</v>
      </c>
      <c r="J128" s="89">
        <v>7280</v>
      </c>
      <c r="K128" s="89">
        <v>8589</v>
      </c>
      <c r="L128" s="90">
        <v>10605</v>
      </c>
      <c r="M128" s="89">
        <v>105649.2928350124</v>
      </c>
      <c r="N128" s="89">
        <v>156286.63071229256</v>
      </c>
      <c r="O128" s="89">
        <v>243238.30625955551</v>
      </c>
      <c r="P128" s="89">
        <v>315705.27904467966</v>
      </c>
      <c r="Q128" s="89">
        <v>386401.27006633027</v>
      </c>
    </row>
    <row r="129" spans="2:26" ht="3.95" customHeight="1" thickTop="1" x14ac:dyDescent="0.25">
      <c r="D129"/>
      <c r="E129"/>
      <c r="F129"/>
      <c r="G129"/>
      <c r="H129"/>
      <c r="L129" s="25"/>
      <c r="S129" s="5" t="s">
        <v>20</v>
      </c>
    </row>
    <row r="130" spans="2:26" x14ac:dyDescent="0.25">
      <c r="I130"/>
      <c r="J130"/>
      <c r="K130"/>
      <c r="L130" s="31"/>
      <c r="M130"/>
      <c r="N130"/>
      <c r="O130"/>
      <c r="P130"/>
      <c r="Q130"/>
    </row>
    <row r="131" spans="2:26" x14ac:dyDescent="0.25">
      <c r="D131" s="327" t="s">
        <v>78</v>
      </c>
      <c r="E131" s="327"/>
      <c r="F131" s="327"/>
      <c r="G131" s="327"/>
      <c r="H131" s="328" t="s">
        <v>6</v>
      </c>
      <c r="L131" s="33"/>
    </row>
    <row r="132" spans="2:26" x14ac:dyDescent="0.25">
      <c r="D132" s="329" t="s">
        <v>79</v>
      </c>
      <c r="E132" s="329"/>
      <c r="F132" s="329"/>
      <c r="G132" s="329"/>
      <c r="H132" s="330" t="s">
        <v>22</v>
      </c>
      <c r="I132" s="332">
        <v>0.14549180327868852</v>
      </c>
      <c r="J132" s="332">
        <v>0.15184626978146196</v>
      </c>
      <c r="K132" s="332">
        <v>0.1403609281008307</v>
      </c>
      <c r="L132" s="259">
        <v>0.14064206158549902</v>
      </c>
      <c r="M132" s="79">
        <v>0.14064206158549902</v>
      </c>
      <c r="N132" s="79">
        <v>0.16433159370038652</v>
      </c>
      <c r="O132" s="79">
        <v>0.16433159370038652</v>
      </c>
      <c r="P132" s="79">
        <v>0.16433159370038652</v>
      </c>
      <c r="Q132" s="79">
        <v>0.16433159370038652</v>
      </c>
    </row>
    <row r="133" spans="2:26" x14ac:dyDescent="0.25">
      <c r="D133" s="329" t="s">
        <v>80</v>
      </c>
      <c r="E133" s="329"/>
      <c r="F133" s="329"/>
      <c r="G133" s="329"/>
      <c r="H133" s="330" t="s">
        <v>22</v>
      </c>
      <c r="I133" s="332">
        <v>9.1117216117216113E-2</v>
      </c>
      <c r="J133" s="332">
        <v>1.3272849462365592E-2</v>
      </c>
      <c r="K133" s="332">
        <v>1.1443468715697036E-2</v>
      </c>
      <c r="L133" s="259">
        <v>8.1121373899572732E-3</v>
      </c>
      <c r="M133" s="79">
        <v>3.0986417921309004E-2</v>
      </c>
      <c r="N133" s="79">
        <v>3.0986417921309004E-2</v>
      </c>
      <c r="O133" s="79">
        <v>3.0986417921309004E-2</v>
      </c>
      <c r="P133" s="79">
        <v>3.0986417921309004E-2</v>
      </c>
      <c r="Q133" s="79">
        <v>3.0986417921309004E-2</v>
      </c>
    </row>
    <row r="134" spans="2:26" x14ac:dyDescent="0.25">
      <c r="D134" s="329" t="s">
        <v>215</v>
      </c>
      <c r="E134" s="329"/>
      <c r="F134" s="329"/>
      <c r="G134" s="329"/>
      <c r="H134" s="330"/>
      <c r="I134" s="332"/>
      <c r="J134" s="332">
        <v>0.71698255114320097</v>
      </c>
      <c r="K134" s="332">
        <v>1.297182881773399</v>
      </c>
      <c r="L134" s="259">
        <v>1.5427185960591132</v>
      </c>
      <c r="M134" s="79">
        <v>1.4199507389162562</v>
      </c>
      <c r="N134" s="79">
        <v>1.4813346674876846</v>
      </c>
      <c r="O134" s="79">
        <v>1.4506427032019704</v>
      </c>
      <c r="P134" s="79">
        <v>1.4659886853448274</v>
      </c>
      <c r="Q134" s="79">
        <v>1.458315694273399</v>
      </c>
    </row>
    <row r="135" spans="2:26" customFormat="1" x14ac:dyDescent="0.25">
      <c r="B135" s="275"/>
      <c r="D135" s="276"/>
      <c r="E135" s="277"/>
      <c r="F135" s="278"/>
      <c r="G135" s="279"/>
      <c r="H135" s="279"/>
      <c r="I135" s="279"/>
      <c r="J135" s="280"/>
      <c r="K135" s="280"/>
      <c r="L135" s="280"/>
      <c r="M135" s="280"/>
      <c r="N135" s="280"/>
    </row>
    <row r="136" spans="2:26" s="282" customFormat="1" ht="18" thickBot="1" x14ac:dyDescent="0.35">
      <c r="B136" s="281" t="s">
        <v>0</v>
      </c>
      <c r="D136" s="283" t="s">
        <v>82</v>
      </c>
      <c r="E136" s="284"/>
      <c r="F136" s="284"/>
      <c r="G136" s="285"/>
    </row>
    <row r="137" spans="2:26" ht="15" customHeight="1" x14ac:dyDescent="0.25">
      <c r="D137" s="190"/>
      <c r="E137" s="2"/>
      <c r="F137" s="2"/>
      <c r="G137" s="3"/>
    </row>
    <row r="138" spans="2:26" x14ac:dyDescent="0.25">
      <c r="D138" s="91" t="s">
        <v>83</v>
      </c>
      <c r="E138" s="91"/>
      <c r="F138" s="91"/>
      <c r="G138" s="91"/>
      <c r="H138" s="91"/>
      <c r="J138" s="92" t="s">
        <v>84</v>
      </c>
      <c r="K138" s="93"/>
      <c r="L138" s="93"/>
      <c r="M138" s="93"/>
    </row>
    <row r="139" spans="2:26" ht="3.95" customHeight="1" thickBot="1" x14ac:dyDescent="0.3"/>
    <row r="140" spans="2:26" x14ac:dyDescent="0.25">
      <c r="D140" s="1" t="s">
        <v>85</v>
      </c>
      <c r="G140" s="247">
        <v>4.2630000000000001E-2</v>
      </c>
      <c r="H140" s="95">
        <v>1</v>
      </c>
      <c r="J140" s="96" t="s">
        <v>86</v>
      </c>
      <c r="K140" s="96" t="s">
        <v>87</v>
      </c>
      <c r="L140" s="93" t="s">
        <v>88</v>
      </c>
      <c r="M140" s="1" t="s">
        <v>89</v>
      </c>
      <c r="Q140" s="97"/>
      <c r="U140" s="415" t="s">
        <v>282</v>
      </c>
      <c r="V140" s="416"/>
      <c r="W140" s="416"/>
      <c r="X140" s="416"/>
      <c r="Y140" s="416"/>
      <c r="Z140" s="417"/>
    </row>
    <row r="141" spans="2:26" x14ac:dyDescent="0.25">
      <c r="D141" s="1" t="s">
        <v>90</v>
      </c>
      <c r="G141" s="262">
        <v>1.62</v>
      </c>
      <c r="H141" s="95">
        <v>2</v>
      </c>
      <c r="J141" s="211">
        <v>4.1000000000000003E-3</v>
      </c>
      <c r="K141" s="10">
        <v>0</v>
      </c>
      <c r="L141" s="98">
        <f>K141/($K$151-$K$150)</f>
        <v>0</v>
      </c>
      <c r="M141" s="99">
        <f>L141*J141</f>
        <v>0</v>
      </c>
      <c r="Q141" s="100"/>
      <c r="U141" s="418"/>
      <c r="V141" s="419"/>
      <c r="W141" s="419"/>
      <c r="X141" s="419"/>
      <c r="Y141" s="419"/>
      <c r="Z141" s="420"/>
    </row>
    <row r="142" spans="2:26" x14ac:dyDescent="0.25">
      <c r="D142" s="1" t="s">
        <v>91</v>
      </c>
      <c r="G142" s="247">
        <v>4.0599999999999997E-2</v>
      </c>
      <c r="H142" s="95">
        <v>3</v>
      </c>
      <c r="J142" s="211">
        <v>6.6E-3</v>
      </c>
      <c r="K142" s="10">
        <v>0</v>
      </c>
      <c r="L142" s="98">
        <f t="shared" ref="L142:L149" si="8">K142/($K$151-$K$150)</f>
        <v>0</v>
      </c>
      <c r="M142" s="99">
        <f t="shared" ref="M142:M149" si="9">L142*J142</f>
        <v>0</v>
      </c>
      <c r="Q142" s="100"/>
      <c r="U142" s="418"/>
      <c r="V142" s="419"/>
      <c r="W142" s="419"/>
      <c r="X142" s="419"/>
      <c r="Y142" s="419"/>
      <c r="Z142" s="420"/>
    </row>
    <row r="143" spans="2:26" x14ac:dyDescent="0.25">
      <c r="D143" s="101" t="s">
        <v>92</v>
      </c>
      <c r="E143" s="102"/>
      <c r="F143" s="103"/>
      <c r="G143" s="407">
        <f>G140+G141*G142</f>
        <v>0.108402</v>
      </c>
      <c r="H143" s="106"/>
      <c r="J143" s="211">
        <v>3.3099999999999997E-2</v>
      </c>
      <c r="K143" s="10">
        <v>1000</v>
      </c>
      <c r="L143" s="98">
        <f t="shared" si="8"/>
        <v>0.11764705882352941</v>
      </c>
      <c r="M143" s="99">
        <f t="shared" si="9"/>
        <v>3.8941176470588231E-3</v>
      </c>
      <c r="Q143" s="100"/>
      <c r="U143" s="418"/>
      <c r="V143" s="419"/>
      <c r="W143" s="419"/>
      <c r="X143" s="419"/>
      <c r="Y143" s="419"/>
      <c r="Z143" s="420"/>
    </row>
    <row r="144" spans="2:26" x14ac:dyDescent="0.25">
      <c r="H144" s="95"/>
      <c r="J144" s="211">
        <v>1.6400000000000001E-2</v>
      </c>
      <c r="K144" s="10">
        <v>1250</v>
      </c>
      <c r="L144" s="98">
        <f t="shared" si="8"/>
        <v>0.14705882352941177</v>
      </c>
      <c r="M144" s="99">
        <f t="shared" si="9"/>
        <v>2.4117647058823533E-3</v>
      </c>
      <c r="Q144" s="100"/>
      <c r="U144" s="418"/>
      <c r="V144" s="419"/>
      <c r="W144" s="419"/>
      <c r="X144" s="419"/>
      <c r="Y144" s="419"/>
      <c r="Z144" s="420"/>
    </row>
    <row r="145" spans="4:26" x14ac:dyDescent="0.25">
      <c r="D145" s="1" t="s">
        <v>93</v>
      </c>
      <c r="G145" s="198">
        <f>M150</f>
        <v>2.9497058823529411E-2</v>
      </c>
      <c r="H145" s="95"/>
      <c r="J145" s="211">
        <v>2.93E-2</v>
      </c>
      <c r="K145" s="10">
        <v>1500</v>
      </c>
      <c r="L145" s="98">
        <f t="shared" si="8"/>
        <v>0.17647058823529413</v>
      </c>
      <c r="M145" s="99">
        <f t="shared" si="9"/>
        <v>5.1705882352941178E-3</v>
      </c>
      <c r="Q145" s="100"/>
      <c r="U145" s="418"/>
      <c r="V145" s="419"/>
      <c r="W145" s="419"/>
      <c r="X145" s="419"/>
      <c r="Y145" s="419"/>
      <c r="Z145" s="420"/>
    </row>
    <row r="146" spans="4:26" x14ac:dyDescent="0.25">
      <c r="D146" s="1" t="s">
        <v>94</v>
      </c>
      <c r="G146" s="105">
        <f>M42</f>
        <v>0.13878117946640431</v>
      </c>
      <c r="H146" s="106"/>
      <c r="J146" s="211">
        <v>2.0899999999999998E-2</v>
      </c>
      <c r="K146" s="10">
        <v>1250</v>
      </c>
      <c r="L146" s="98">
        <f t="shared" si="8"/>
        <v>0.14705882352941177</v>
      </c>
      <c r="M146" s="99">
        <f t="shared" si="9"/>
        <v>3.0735294117647059E-3</v>
      </c>
      <c r="Q146" s="100"/>
      <c r="R146" s="100"/>
      <c r="S146" s="100"/>
      <c r="T146" s="100"/>
      <c r="U146" s="418"/>
      <c r="V146" s="419"/>
      <c r="W146" s="419"/>
      <c r="X146" s="419"/>
      <c r="Y146" s="419"/>
      <c r="Z146" s="420"/>
    </row>
    <row r="147" spans="4:26" ht="15.75" thickBot="1" x14ac:dyDescent="0.3">
      <c r="D147" s="101" t="s">
        <v>95</v>
      </c>
      <c r="E147" s="102"/>
      <c r="F147" s="102"/>
      <c r="G147" s="407">
        <f>G145*(1-G146)</f>
        <v>2.5403422209210089E-2</v>
      </c>
      <c r="H147" s="106"/>
      <c r="J147" s="211">
        <v>3.5400000000000001E-2</v>
      </c>
      <c r="K147" s="10">
        <v>1000</v>
      </c>
      <c r="L147" s="98">
        <f t="shared" si="8"/>
        <v>0.11764705882352941</v>
      </c>
      <c r="M147" s="99">
        <f t="shared" si="9"/>
        <v>4.164705882352941E-3</v>
      </c>
      <c r="Q147" s="100"/>
      <c r="R147" s="100"/>
      <c r="S147" s="100"/>
      <c r="T147" s="100"/>
      <c r="U147" s="421"/>
      <c r="V147" s="422"/>
      <c r="W147" s="422"/>
      <c r="X147" s="422"/>
      <c r="Y147" s="422"/>
      <c r="Z147" s="423"/>
    </row>
    <row r="148" spans="4:26" ht="15" customHeight="1" x14ac:dyDescent="0.25">
      <c r="H148" s="95"/>
      <c r="J148" s="211">
        <v>3.6499999999999998E-2</v>
      </c>
      <c r="K148" s="10">
        <v>2000</v>
      </c>
      <c r="L148" s="98">
        <f t="shared" si="8"/>
        <v>0.23529411764705882</v>
      </c>
      <c r="M148" s="99">
        <f t="shared" si="9"/>
        <v>8.5882352941176465E-3</v>
      </c>
      <c r="Q148" s="100"/>
      <c r="R148" s="100"/>
      <c r="S148" s="100"/>
      <c r="T148" s="100"/>
      <c r="U148" s="100"/>
    </row>
    <row r="149" spans="4:26" x14ac:dyDescent="0.25">
      <c r="D149" s="107" t="s">
        <v>96</v>
      </c>
      <c r="H149" s="95"/>
      <c r="J149" s="211">
        <v>3.73E-2</v>
      </c>
      <c r="K149" s="10">
        <v>500</v>
      </c>
      <c r="L149" s="98">
        <f t="shared" si="8"/>
        <v>5.8823529411764705E-2</v>
      </c>
      <c r="M149" s="99">
        <f t="shared" si="9"/>
        <v>2.1941176470588234E-3</v>
      </c>
      <c r="Q149" s="100"/>
      <c r="R149" s="100"/>
      <c r="S149" s="100"/>
      <c r="T149" s="100"/>
      <c r="U149" s="401" t="s">
        <v>192</v>
      </c>
      <c r="V149" s="402"/>
    </row>
    <row r="150" spans="4:26" x14ac:dyDescent="0.25">
      <c r="D150" s="12" t="s">
        <v>97</v>
      </c>
      <c r="F150" s="199">
        <f>K151</f>
        <v>8463</v>
      </c>
      <c r="G150" s="380">
        <f>F150/F152</f>
        <v>2.0296935313861416E-3</v>
      </c>
      <c r="H150" s="95"/>
      <c r="J150" s="135" t="s">
        <v>217</v>
      </c>
      <c r="K150" s="10">
        <v>-37</v>
      </c>
      <c r="L150" s="108">
        <f>SUM(L141:L149)</f>
        <v>1</v>
      </c>
      <c r="M150" s="260">
        <f>SUM(M141:M149)</f>
        <v>2.9497058823529411E-2</v>
      </c>
      <c r="Q150" s="100"/>
      <c r="R150" s="100"/>
      <c r="S150" s="100"/>
      <c r="T150" s="100"/>
      <c r="U150" s="100"/>
    </row>
    <row r="151" spans="4:26" x14ac:dyDescent="0.25">
      <c r="D151" s="12" t="s">
        <v>98</v>
      </c>
      <c r="F151" s="199">
        <f>$G$203</f>
        <v>4161132</v>
      </c>
      <c r="G151" s="380">
        <f>F151/F152</f>
        <v>0.99797030646861384</v>
      </c>
      <c r="H151" s="95"/>
      <c r="K151" s="120">
        <f>SUM(K141:K150)</f>
        <v>8463</v>
      </c>
      <c r="Q151" s="100"/>
      <c r="R151" s="100"/>
      <c r="S151" s="100"/>
      <c r="T151" s="100"/>
      <c r="U151" s="100"/>
    </row>
    <row r="152" spans="4:26" x14ac:dyDescent="0.25">
      <c r="D152" s="109" t="s">
        <v>99</v>
      </c>
      <c r="E152" s="102"/>
      <c r="F152" s="395">
        <f>SUM(F150:F151)</f>
        <v>4169595</v>
      </c>
      <c r="G152" s="407">
        <f>SUM(G150:G151)</f>
        <v>1</v>
      </c>
      <c r="H152" s="95"/>
      <c r="J152" s="135" t="s">
        <v>218</v>
      </c>
      <c r="K152" s="120">
        <f>-1250</f>
        <v>-1250</v>
      </c>
      <c r="Q152" s="100"/>
      <c r="R152" s="100"/>
      <c r="S152" s="100"/>
      <c r="T152" s="100"/>
      <c r="U152" s="100"/>
    </row>
    <row r="153" spans="4:26" ht="14.25" customHeight="1" x14ac:dyDescent="0.25">
      <c r="G153" s="209"/>
      <c r="H153" s="110"/>
      <c r="J153" s="135" t="s">
        <v>219</v>
      </c>
      <c r="K153" s="120">
        <f>SUM(K151:K152)</f>
        <v>7213</v>
      </c>
      <c r="Q153" s="100"/>
      <c r="R153" s="100"/>
      <c r="S153" s="100"/>
      <c r="T153" s="100"/>
      <c r="U153" s="100"/>
    </row>
    <row r="154" spans="4:26" ht="15.75" thickBot="1" x14ac:dyDescent="0.3">
      <c r="D154" s="164" t="s">
        <v>83</v>
      </c>
      <c r="E154" s="164"/>
      <c r="F154" s="164"/>
      <c r="G154" s="394">
        <f>(G151*G143)+(G150*G147)</f>
        <v>0.10823353832354378</v>
      </c>
      <c r="H154" s="408"/>
      <c r="Q154" s="100"/>
      <c r="R154" s="100"/>
      <c r="S154" s="100"/>
      <c r="T154" s="100"/>
      <c r="U154" s="100"/>
    </row>
    <row r="155" spans="4:26" ht="15.75" thickTop="1" x14ac:dyDescent="0.25">
      <c r="D155" s="111" t="s">
        <v>276</v>
      </c>
      <c r="Q155" s="100"/>
      <c r="R155" s="100"/>
      <c r="S155" s="100"/>
      <c r="T155" s="100"/>
      <c r="U155" s="100"/>
    </row>
    <row r="156" spans="4:26" x14ac:dyDescent="0.25">
      <c r="D156" s="111" t="s">
        <v>277</v>
      </c>
    </row>
    <row r="157" spans="4:26" x14ac:dyDescent="0.25">
      <c r="D157" s="111" t="s">
        <v>278</v>
      </c>
    </row>
    <row r="158" spans="4:26" x14ac:dyDescent="0.25">
      <c r="D158" s="111"/>
    </row>
    <row r="161" spans="2:26" ht="15.75" thickBot="1" x14ac:dyDescent="0.3">
      <c r="B161" s="196" t="s">
        <v>280</v>
      </c>
      <c r="D161" s="301" t="s">
        <v>100</v>
      </c>
      <c r="E161" s="301"/>
      <c r="F161" s="301"/>
      <c r="G161" s="301"/>
      <c r="H161" s="347"/>
      <c r="I161" s="348" t="s">
        <v>3</v>
      </c>
      <c r="J161" s="348"/>
      <c r="K161" s="348"/>
      <c r="L161" s="348"/>
      <c r="M161" s="348"/>
    </row>
    <row r="162" spans="2:26" x14ac:dyDescent="0.25">
      <c r="D162" s="6" t="s">
        <v>101</v>
      </c>
      <c r="E162" s="7"/>
      <c r="F162" s="7"/>
      <c r="G162" s="7"/>
      <c r="H162" s="112" t="s">
        <v>6</v>
      </c>
      <c r="I162" s="287">
        <f>$M$10</f>
        <v>2027</v>
      </c>
      <c r="J162" s="287">
        <f>$N$10</f>
        <v>2028</v>
      </c>
      <c r="K162" s="287">
        <f>$O$10</f>
        <v>2029</v>
      </c>
      <c r="L162" s="287">
        <f>$P$10</f>
        <v>2030</v>
      </c>
      <c r="M162" s="287">
        <f>$Q$10</f>
        <v>2031</v>
      </c>
      <c r="U162" s="415" t="s">
        <v>283</v>
      </c>
      <c r="V162" s="416"/>
      <c r="W162" s="416"/>
      <c r="X162" s="416"/>
      <c r="Y162" s="416"/>
      <c r="Z162" s="417"/>
    </row>
    <row r="163" spans="2:26" ht="6.2" customHeight="1" x14ac:dyDescent="0.25">
      <c r="D163" s="111"/>
      <c r="U163" s="418"/>
      <c r="V163" s="419"/>
      <c r="W163" s="419"/>
      <c r="X163" s="419"/>
      <c r="Y163" s="419"/>
      <c r="Z163" s="420"/>
    </row>
    <row r="164" spans="2:26" x14ac:dyDescent="0.25">
      <c r="D164" s="113" t="s">
        <v>15</v>
      </c>
      <c r="H164" s="8" t="s">
        <v>61</v>
      </c>
      <c r="I164" s="83">
        <f>M28</f>
        <v>216189.258837045</v>
      </c>
      <c r="J164" s="83">
        <f>N28</f>
        <v>325320.39065556758</v>
      </c>
      <c r="K164" s="83">
        <f>O28</f>
        <v>456899.65027779451</v>
      </c>
      <c r="L164" s="83">
        <f>P28</f>
        <v>595855.97972913296</v>
      </c>
      <c r="M164" s="83">
        <f>Q28</f>
        <v>717290.89691655943</v>
      </c>
      <c r="U164" s="418"/>
      <c r="V164" s="419"/>
      <c r="W164" s="419"/>
      <c r="X164" s="419"/>
      <c r="Y164" s="419"/>
      <c r="Z164" s="420"/>
    </row>
    <row r="165" spans="2:26" x14ac:dyDescent="0.25">
      <c r="D165" s="114" t="str">
        <f>"Taxes @ "&amp;TEXT(M42,"0.0%")</f>
        <v>Taxes @ 13.9%</v>
      </c>
      <c r="G165" s="113"/>
      <c r="H165" s="8" t="s">
        <v>61</v>
      </c>
      <c r="I165" s="83">
        <f xml:space="preserve"> - I164 * $M$42</f>
        <v>-30003.000329372877</v>
      </c>
      <c r="J165" s="83">
        <f t="shared" ref="J165:M165" si="10" xml:space="preserve"> - J164 * $M$42</f>
        <v>-45148.347519651084</v>
      </c>
      <c r="K165" s="83">
        <f t="shared" si="10"/>
        <v>-63409.072363339968</v>
      </c>
      <c r="L165" s="83">
        <f t="shared" si="10"/>
        <v>-82693.595658918974</v>
      </c>
      <c r="M165" s="83">
        <f t="shared" si="10"/>
        <v>-99546.476694595141</v>
      </c>
      <c r="U165" s="418"/>
      <c r="V165" s="419"/>
      <c r="W165" s="419"/>
      <c r="X165" s="419"/>
      <c r="Y165" s="419"/>
      <c r="Z165" s="420"/>
    </row>
    <row r="166" spans="2:26" x14ac:dyDescent="0.25">
      <c r="D166" s="115" t="s">
        <v>102</v>
      </c>
      <c r="H166" s="8" t="s">
        <v>61</v>
      </c>
      <c r="I166" s="116">
        <f>SUM(I164:I165)</f>
        <v>186186.25850767212</v>
      </c>
      <c r="J166" s="116">
        <f t="shared" ref="J166:M166" si="11">SUM(J164:J165)</f>
        <v>280172.04313591646</v>
      </c>
      <c r="K166" s="116">
        <f t="shared" si="11"/>
        <v>393490.57791445457</v>
      </c>
      <c r="L166" s="116">
        <f t="shared" si="11"/>
        <v>513162.384070214</v>
      </c>
      <c r="M166" s="116">
        <f t="shared" si="11"/>
        <v>617744.42022196425</v>
      </c>
      <c r="U166" s="418"/>
      <c r="V166" s="419"/>
      <c r="W166" s="419"/>
      <c r="X166" s="419"/>
      <c r="Y166" s="419"/>
      <c r="Z166" s="420"/>
    </row>
    <row r="167" spans="2:26" x14ac:dyDescent="0.25">
      <c r="D167" s="117" t="s">
        <v>103</v>
      </c>
      <c r="G167" s="118"/>
      <c r="H167" s="8" t="s">
        <v>61</v>
      </c>
      <c r="I167" s="83">
        <f>M29</f>
        <v>4548.8000000000011</v>
      </c>
      <c r="J167" s="83">
        <f>N29</f>
        <v>6823.2000000000007</v>
      </c>
      <c r="K167" s="83">
        <f>O29</f>
        <v>9552.4800000000014</v>
      </c>
      <c r="L167" s="83">
        <f>P29</f>
        <v>12418.224000000002</v>
      </c>
      <c r="M167" s="83">
        <f>Q29</f>
        <v>14901.868800000002</v>
      </c>
      <c r="U167" s="418"/>
      <c r="V167" s="419"/>
      <c r="W167" s="419"/>
      <c r="X167" s="419"/>
      <c r="Y167" s="419"/>
      <c r="Z167" s="420"/>
    </row>
    <row r="168" spans="2:26" x14ac:dyDescent="0.25">
      <c r="D168" s="117" t="s">
        <v>104</v>
      </c>
      <c r="G168" s="113"/>
      <c r="H168" s="8" t="s">
        <v>61</v>
      </c>
      <c r="I168" s="83">
        <f>SUM(M102:M107)</f>
        <v>-19849.947480432173</v>
      </c>
      <c r="J168" s="83">
        <f>SUM(N102:N107)</f>
        <v>-19296.926896710687</v>
      </c>
      <c r="K168" s="83">
        <f>SUM(O102:O107)</f>
        <v>-23118.784169949566</v>
      </c>
      <c r="L168" s="83">
        <f>SUM(P102:P107)</f>
        <v>-24226.562308947916</v>
      </c>
      <c r="M168" s="83">
        <f>SUM(Q102:Q107)</f>
        <v>-20935.641864992274</v>
      </c>
      <c r="U168" s="418"/>
      <c r="V168" s="419"/>
      <c r="W168" s="419"/>
      <c r="X168" s="419"/>
      <c r="Y168" s="419"/>
      <c r="Z168" s="420"/>
    </row>
    <row r="169" spans="2:26" ht="15.75" thickBot="1" x14ac:dyDescent="0.3">
      <c r="D169" s="117" t="s">
        <v>105</v>
      </c>
      <c r="G169" s="113"/>
      <c r="H169" s="8" t="s">
        <v>61</v>
      </c>
      <c r="I169" s="83">
        <f xml:space="preserve"> M110</f>
        <v>-8099.0899249619615</v>
      </c>
      <c r="J169" s="83">
        <f xml:space="preserve"> N110</f>
        <v>-12148.634887442942</v>
      </c>
      <c r="K169" s="83">
        <f xml:space="preserve"> O110</f>
        <v>-17008.088842420118</v>
      </c>
      <c r="L169" s="83">
        <f xml:space="preserve"> P110</f>
        <v>-22110.515495146155</v>
      </c>
      <c r="M169" s="83">
        <f xml:space="preserve"> Q110</f>
        <v>-26532.618594175387</v>
      </c>
      <c r="U169" s="421"/>
      <c r="V169" s="422"/>
      <c r="W169" s="422"/>
      <c r="X169" s="422"/>
      <c r="Y169" s="422"/>
      <c r="Z169" s="423"/>
    </row>
    <row r="170" spans="2:26" ht="15.75" thickBot="1" x14ac:dyDescent="0.3">
      <c r="D170" s="119" t="s">
        <v>106</v>
      </c>
      <c r="E170" s="119"/>
      <c r="F170" s="119"/>
      <c r="G170" s="119"/>
      <c r="H170" s="58" t="s">
        <v>61</v>
      </c>
      <c r="I170" s="89">
        <f>SUM(I166:I169)</f>
        <v>162786.02110227797</v>
      </c>
      <c r="J170" s="89">
        <f>SUM(J166:J169)</f>
        <v>255549.68135176282</v>
      </c>
      <c r="K170" s="89">
        <f>SUM(K166:K169)</f>
        <v>362916.18490208482</v>
      </c>
      <c r="L170" s="89">
        <f>SUM(L166:L169)</f>
        <v>479243.53026611998</v>
      </c>
      <c r="M170" s="89">
        <f>SUM(M166:M169)</f>
        <v>585178.02856279653</v>
      </c>
      <c r="U170" s="401" t="s">
        <v>193</v>
      </c>
    </row>
    <row r="171" spans="2:26" ht="6.2" customHeight="1" thickTop="1" x14ac:dyDescent="0.25">
      <c r="D171" s="118"/>
      <c r="G171" s="118"/>
    </row>
    <row r="172" spans="2:26" x14ac:dyDescent="0.25">
      <c r="D172" s="118" t="s">
        <v>107</v>
      </c>
      <c r="G172" s="118"/>
      <c r="H172" s="8" t="s">
        <v>22</v>
      </c>
      <c r="I172" s="108">
        <f>$G$154</f>
        <v>0.10823353832354378</v>
      </c>
      <c r="J172" s="108">
        <f t="shared" ref="J172:M172" si="12">$G$154</f>
        <v>0.10823353832354378</v>
      </c>
      <c r="K172" s="108">
        <f t="shared" si="12"/>
        <v>0.10823353832354378</v>
      </c>
      <c r="L172" s="108">
        <f t="shared" si="12"/>
        <v>0.10823353832354378</v>
      </c>
      <c r="M172" s="108">
        <f t="shared" si="12"/>
        <v>0.10823353832354378</v>
      </c>
    </row>
    <row r="173" spans="2:26" x14ac:dyDescent="0.25">
      <c r="D173" s="118" t="s">
        <v>108</v>
      </c>
      <c r="G173" s="118"/>
      <c r="H173" s="8" t="s">
        <v>109</v>
      </c>
      <c r="I173" s="120">
        <v>1</v>
      </c>
      <c r="J173" s="120">
        <f>I173+1</f>
        <v>2</v>
      </c>
      <c r="K173" s="120">
        <f t="shared" ref="K173:M173" si="13">J173+1</f>
        <v>3</v>
      </c>
      <c r="L173" s="120">
        <f t="shared" si="13"/>
        <v>4</v>
      </c>
      <c r="M173" s="120">
        <f t="shared" si="13"/>
        <v>5</v>
      </c>
    </row>
    <row r="174" spans="2:26" x14ac:dyDescent="0.25">
      <c r="D174" s="118" t="s">
        <v>110</v>
      </c>
      <c r="G174" s="118"/>
      <c r="H174" s="8" t="s">
        <v>109</v>
      </c>
      <c r="I174" s="398">
        <f>1/(1+I172)^I173</f>
        <v>0.90233688606169449</v>
      </c>
      <c r="J174" s="398">
        <f t="shared" ref="J174:M174" si="14">1/(1+J172)^J173</f>
        <v>0.81421185594751533</v>
      </c>
      <c r="K174" s="398">
        <f t="shared" si="14"/>
        <v>0.7346933906901939</v>
      </c>
      <c r="L174" s="398">
        <f t="shared" si="14"/>
        <v>0.6629409463654975</v>
      </c>
      <c r="M174" s="398">
        <f t="shared" si="14"/>
        <v>0.59819606918623591</v>
      </c>
    </row>
    <row r="175" spans="2:26" ht="6.2" customHeight="1" x14ac:dyDescent="0.25">
      <c r="D175" s="118"/>
      <c r="E175" s="118"/>
      <c r="F175" s="118"/>
    </row>
    <row r="176" spans="2:26" ht="15.75" thickBot="1" x14ac:dyDescent="0.3">
      <c r="D176" s="121" t="s">
        <v>111</v>
      </c>
      <c r="E176" s="122"/>
      <c r="F176" s="119"/>
      <c r="G176" s="119"/>
      <c r="H176" s="58" t="s">
        <v>61</v>
      </c>
      <c r="I176" s="397">
        <f>I170*I174</f>
        <v>146887.83137580278</v>
      </c>
      <c r="J176" s="397">
        <f t="shared" ref="J176:M176" si="15">J170*J174</f>
        <v>208071.58034021495</v>
      </c>
      <c r="K176" s="397">
        <f t="shared" si="15"/>
        <v>266632.12242206204</v>
      </c>
      <c r="L176" s="397">
        <f t="shared" si="15"/>
        <v>317710.15949416353</v>
      </c>
      <c r="M176" s="397">
        <f t="shared" si="15"/>
        <v>350051.19646041578</v>
      </c>
    </row>
    <row r="177" spans="4:17" ht="15.75" thickTop="1" x14ac:dyDescent="0.25">
      <c r="D177" s="118"/>
      <c r="E177" s="118"/>
      <c r="F177" s="118"/>
    </row>
    <row r="178" spans="4:17" x14ac:dyDescent="0.25">
      <c r="D178" s="123" t="s">
        <v>112</v>
      </c>
      <c r="E178" s="124"/>
      <c r="F178" s="124"/>
      <c r="J178" s="125" t="s">
        <v>113</v>
      </c>
    </row>
    <row r="179" spans="4:17" x14ac:dyDescent="0.25">
      <c r="D179" s="118"/>
      <c r="E179" s="118"/>
      <c r="F179" s="118"/>
      <c r="J179" s="126" t="str">
        <f>"FY"&amp;TEXT(M162,"0")&amp;"E Unlevered Free Cash Flow"</f>
        <v>FY2031E Unlevered Free Cash Flow</v>
      </c>
      <c r="K179" s="127"/>
      <c r="L179" s="127"/>
      <c r="M179" s="26">
        <f>M170</f>
        <v>585178.02856279653</v>
      </c>
    </row>
    <row r="180" spans="4:17" x14ac:dyDescent="0.25">
      <c r="D180" s="113" t="str">
        <f>"NPV of UFCF "&amp;TEXT(I162,"0")&amp;" - "&amp;TEXT(M162,"0")</f>
        <v>NPV of UFCF 2027 - 2031</v>
      </c>
      <c r="E180" s="118"/>
      <c r="F180" s="404">
        <f>SUM(I176:M176)</f>
        <v>1289352.890092659</v>
      </c>
      <c r="J180" s="128" t="s">
        <v>114</v>
      </c>
      <c r="K180" s="129"/>
      <c r="L180" s="129"/>
      <c r="M180" s="94">
        <v>0.02</v>
      </c>
    </row>
    <row r="181" spans="4:17" x14ac:dyDescent="0.25">
      <c r="D181" s="113" t="s">
        <v>115</v>
      </c>
      <c r="E181" s="118"/>
      <c r="F181" s="404">
        <f>M181/((1+G154)^5)</f>
        <v>4046672.3558149561</v>
      </c>
      <c r="J181" s="128" t="s">
        <v>116</v>
      </c>
      <c r="K181" s="129"/>
      <c r="L181" s="129"/>
      <c r="M181" s="26">
        <f>(M179 * (1 + M180)) / (G154 - M180)</f>
        <v>6764792.6227932284</v>
      </c>
    </row>
    <row r="182" spans="4:17" x14ac:dyDescent="0.25">
      <c r="D182" s="130" t="s">
        <v>117</v>
      </c>
      <c r="E182" s="131"/>
      <c r="F182" s="405">
        <f>F180+F181</f>
        <v>5336025.2459076149</v>
      </c>
      <c r="J182" s="128" t="s">
        <v>118</v>
      </c>
      <c r="K182" s="129"/>
      <c r="L182" s="129"/>
      <c r="M182" s="132">
        <f>IFERROR(F181/(Q30*M174),0)</f>
        <v>9.2390869447786361</v>
      </c>
    </row>
    <row r="183" spans="4:17" x14ac:dyDescent="0.25">
      <c r="D183" s="1" t="s">
        <v>119</v>
      </c>
      <c r="F183" s="404">
        <f>-K151</f>
        <v>-8463</v>
      </c>
      <c r="G183" s="1" t="s">
        <v>285</v>
      </c>
    </row>
    <row r="184" spans="4:17" x14ac:dyDescent="0.25">
      <c r="D184" s="1" t="s">
        <v>120</v>
      </c>
      <c r="F184" s="404">
        <f>L52</f>
        <v>10605</v>
      </c>
      <c r="G184" s="1" t="s">
        <v>287</v>
      </c>
      <c r="H184" s="301" t="s">
        <v>121</v>
      </c>
      <c r="I184" s="301"/>
      <c r="J184" s="301"/>
      <c r="K184" s="301"/>
      <c r="L184" s="301"/>
      <c r="M184" s="301"/>
      <c r="N184" s="301"/>
      <c r="O184" s="133"/>
      <c r="Q184" s="134" t="s">
        <v>122</v>
      </c>
    </row>
    <row r="185" spans="4:17" x14ac:dyDescent="0.25">
      <c r="D185" s="1" t="s">
        <v>199</v>
      </c>
      <c r="F185" s="404">
        <f>L53</f>
        <v>51951</v>
      </c>
      <c r="G185" s="1" t="s">
        <v>288</v>
      </c>
      <c r="H185" s="349"/>
      <c r="I185" s="350"/>
      <c r="J185" s="351" t="s">
        <v>123</v>
      </c>
      <c r="K185" s="352"/>
      <c r="L185" s="352"/>
      <c r="M185" s="352"/>
      <c r="N185" s="352"/>
      <c r="O185" s="133"/>
      <c r="P185" s="135" t="s">
        <v>124</v>
      </c>
      <c r="Q185" s="136">
        <v>2.5000000000000001E-3</v>
      </c>
    </row>
    <row r="186" spans="4:17" ht="15.75" thickBot="1" x14ac:dyDescent="0.3">
      <c r="D186" s="137" t="s">
        <v>125</v>
      </c>
      <c r="E186" s="20"/>
      <c r="F186" s="405">
        <f>SUM(F182:F185)</f>
        <v>5390118.2459076149</v>
      </c>
      <c r="H186" s="349"/>
      <c r="I186" s="396">
        <f>F188</f>
        <v>221.81556567521048</v>
      </c>
      <c r="J186" s="138">
        <f>K186-$Q$185</f>
        <v>1.5000000000000001E-2</v>
      </c>
      <c r="K186" s="139">
        <f>L186-$Q$185</f>
        <v>1.7500000000000002E-2</v>
      </c>
      <c r="L186" s="393">
        <v>0.02</v>
      </c>
      <c r="M186" s="139">
        <f>L186+$Q$185</f>
        <v>2.2499999999999999E-2</v>
      </c>
      <c r="N186" s="139">
        <f>M186+$Q$185</f>
        <v>2.4999999999999998E-2</v>
      </c>
      <c r="O186" s="133"/>
      <c r="Q186" s="134"/>
    </row>
    <row r="187" spans="4:17" ht="14.45" customHeight="1" x14ac:dyDescent="0.25">
      <c r="D187" s="1" t="s">
        <v>126</v>
      </c>
      <c r="F187" s="404">
        <f>G202</f>
        <v>24300</v>
      </c>
      <c r="G187" s="1" t="s">
        <v>286</v>
      </c>
      <c r="H187" s="429" t="s">
        <v>127</v>
      </c>
      <c r="I187" s="138">
        <f t="shared" ref="I187:I188" si="16">I188-$Q$187</f>
        <v>0.103233538323544</v>
      </c>
      <c r="J187" s="140">
        <f t="dataTable" ref="J187:N191" dt2D="1" dtr="1" r1="M180" r2="G154"/>
        <v>225.61170596553151</v>
      </c>
      <c r="K187" s="141">
        <v>230.98409531340945</v>
      </c>
      <c r="L187" s="141">
        <v>236.67921450409395</v>
      </c>
      <c r="M187" s="141">
        <v>242.72704455750937</v>
      </c>
      <c r="N187" s="141">
        <v>249.16139874002687</v>
      </c>
      <c r="O187" s="133"/>
      <c r="P187" s="135" t="s">
        <v>127</v>
      </c>
      <c r="Q187" s="136">
        <v>2.5000000000000001E-3</v>
      </c>
    </row>
    <row r="188" spans="4:17" x14ac:dyDescent="0.25">
      <c r="D188" s="137" t="s">
        <v>121</v>
      </c>
      <c r="E188" s="20"/>
      <c r="F188" s="406">
        <f>F186/F187</f>
        <v>221.81556567521048</v>
      </c>
      <c r="H188" s="429"/>
      <c r="I188" s="139">
        <f t="shared" si="16"/>
        <v>0.105733538323544</v>
      </c>
      <c r="J188" s="142">
        <v>218.67254395601552</v>
      </c>
      <c r="K188" s="353">
        <v>223.70312643234479</v>
      </c>
      <c r="L188" s="353">
        <v>229.02709365487129</v>
      </c>
      <c r="M188" s="353">
        <v>234.67088190926546</v>
      </c>
      <c r="N188" s="143">
        <v>240.6642019921654</v>
      </c>
      <c r="O188" s="133"/>
      <c r="P188" s="133"/>
      <c r="Q188" s="133"/>
    </row>
    <row r="189" spans="4:17" x14ac:dyDescent="0.25">
      <c r="H189" s="429"/>
      <c r="I189" s="393">
        <v>0.108233538323544</v>
      </c>
      <c r="J189" s="142">
        <v>212.11223740614057</v>
      </c>
      <c r="K189" s="353">
        <v>216.83022263251797</v>
      </c>
      <c r="L189" s="353">
        <v>221.81556567520988</v>
      </c>
      <c r="M189" s="353">
        <v>227.09165508975207</v>
      </c>
      <c r="N189" s="143">
        <v>232.68468942342247</v>
      </c>
      <c r="O189" s="133"/>
      <c r="P189" s="144"/>
      <c r="Q189" s="133"/>
    </row>
    <row r="190" spans="4:17" x14ac:dyDescent="0.25">
      <c r="H190" s="429"/>
      <c r="I190" s="139">
        <f>I189+$Q$187</f>
        <v>0.110733538323544</v>
      </c>
      <c r="J190" s="142">
        <v>205.90103002879346</v>
      </c>
      <c r="K190" s="353">
        <v>210.33248078181015</v>
      </c>
      <c r="L190" s="353">
        <v>215.00813289823088</v>
      </c>
      <c r="M190" s="353">
        <v>219.94874390699897</v>
      </c>
      <c r="N190" s="143">
        <v>225.1774925049404</v>
      </c>
      <c r="O190" s="133"/>
      <c r="P190" s="133"/>
      <c r="Q190" s="133"/>
    </row>
    <row r="191" spans="4:17" x14ac:dyDescent="0.25">
      <c r="H191" s="429"/>
      <c r="I191" s="139">
        <f>I190+$Q$187</f>
        <v>0.11323353832354401</v>
      </c>
      <c r="J191" s="142">
        <v>200.01219571984012</v>
      </c>
      <c r="K191" s="143">
        <v>204.18043575957583</v>
      </c>
      <c r="L191" s="143">
        <v>208.57221338646551</v>
      </c>
      <c r="M191" s="143">
        <v>213.20600613301409</v>
      </c>
      <c r="N191" s="143">
        <v>218.10238569374874</v>
      </c>
      <c r="O191" s="133"/>
      <c r="P191" s="133"/>
      <c r="Q191" s="133"/>
    </row>
    <row r="192" spans="4:17" x14ac:dyDescent="0.25">
      <c r="I192" s="133"/>
      <c r="J192" s="133"/>
      <c r="K192" s="133"/>
      <c r="L192" s="133"/>
      <c r="M192" s="133"/>
      <c r="N192" s="133"/>
    </row>
    <row r="193" spans="2:26" x14ac:dyDescent="0.25">
      <c r="I193" s="133"/>
      <c r="J193" s="133"/>
      <c r="K193" s="133"/>
      <c r="L193" s="133"/>
      <c r="M193" s="133"/>
      <c r="N193" s="133"/>
    </row>
    <row r="194" spans="2:26" x14ac:dyDescent="0.25">
      <c r="I194" s="133"/>
      <c r="J194" s="133"/>
      <c r="K194" s="133"/>
      <c r="L194" s="133"/>
      <c r="M194" s="133"/>
      <c r="N194" s="133"/>
    </row>
    <row r="195" spans="2:26" x14ac:dyDescent="0.25">
      <c r="I195" s="133"/>
      <c r="J195" s="133"/>
      <c r="K195" s="133"/>
      <c r="L195" s="133"/>
      <c r="M195" s="133"/>
      <c r="N195" s="133"/>
    </row>
    <row r="196" spans="2:26" s="192" customFormat="1" ht="18" thickBot="1" x14ac:dyDescent="0.35">
      <c r="B196" s="191" t="s">
        <v>30</v>
      </c>
      <c r="D196" s="195" t="s">
        <v>128</v>
      </c>
      <c r="E196" s="193"/>
      <c r="F196" s="193"/>
      <c r="G196" s="194"/>
    </row>
    <row r="197" spans="2:26" ht="15" customHeight="1" x14ac:dyDescent="0.25">
      <c r="D197" s="190"/>
      <c r="E197" s="2"/>
      <c r="F197" s="2"/>
      <c r="G197" s="3"/>
    </row>
    <row r="198" spans="2:26" ht="15.75" thickBot="1" x14ac:dyDescent="0.3">
      <c r="D198" s="354" t="s">
        <v>129</v>
      </c>
      <c r="E198" s="355"/>
      <c r="F198" s="355"/>
      <c r="G198" s="355"/>
      <c r="I198" s="354" t="s">
        <v>130</v>
      </c>
      <c r="J198" s="355"/>
      <c r="K198" s="355"/>
      <c r="L198" s="355"/>
      <c r="M198" s="355"/>
    </row>
    <row r="199" spans="2:26" ht="14.45" customHeight="1" x14ac:dyDescent="0.25">
      <c r="D199" s="6" t="s">
        <v>279</v>
      </c>
      <c r="I199" s="145"/>
      <c r="J199" s="365">
        <f>$L$10</f>
        <v>2026</v>
      </c>
      <c r="K199" s="356">
        <f>$M$10</f>
        <v>2027</v>
      </c>
      <c r="L199" s="357">
        <f>$N$10</f>
        <v>2028</v>
      </c>
      <c r="M199" s="357">
        <f>$O$10</f>
        <v>2029</v>
      </c>
      <c r="P199" s="415" t="s">
        <v>179</v>
      </c>
      <c r="Q199" s="417"/>
      <c r="U199" s="415" t="s">
        <v>284</v>
      </c>
      <c r="V199" s="416"/>
      <c r="W199" s="416"/>
      <c r="X199" s="416"/>
      <c r="Y199" s="416"/>
      <c r="Z199" s="417"/>
    </row>
    <row r="200" spans="2:26" ht="6.2" customHeight="1" x14ac:dyDescent="0.25">
      <c r="D200" s="100"/>
      <c r="E200" s="146"/>
      <c r="F200" s="146"/>
      <c r="G200" s="146"/>
      <c r="H200" s="146"/>
      <c r="I200" s="146"/>
      <c r="P200" s="418"/>
      <c r="Q200" s="420"/>
      <c r="U200" s="418"/>
      <c r="V200" s="419"/>
      <c r="W200" s="419"/>
      <c r="X200" s="419"/>
      <c r="Y200" s="419"/>
      <c r="Z200" s="420"/>
    </row>
    <row r="201" spans="2:26" ht="14.45" customHeight="1" x14ac:dyDescent="0.25">
      <c r="D201" s="100" t="s">
        <v>131</v>
      </c>
      <c r="G201" s="263">
        <v>171.24</v>
      </c>
      <c r="H201" s="146"/>
      <c r="I201" s="146" t="s">
        <v>7</v>
      </c>
      <c r="J201" s="204">
        <f>L12</f>
        <v>215938</v>
      </c>
      <c r="K201" s="148">
        <f>M12</f>
        <v>345500.80000000005</v>
      </c>
      <c r="L201" s="148">
        <f>N12</f>
        <v>518251.20000000007</v>
      </c>
      <c r="M201" s="148">
        <f>O12</f>
        <v>725551.68</v>
      </c>
      <c r="P201" s="418"/>
      <c r="Q201" s="420"/>
      <c r="U201" s="418"/>
      <c r="V201" s="419"/>
      <c r="W201" s="419"/>
      <c r="X201" s="419"/>
      <c r="Y201" s="419"/>
      <c r="Z201" s="420"/>
    </row>
    <row r="202" spans="2:26" ht="14.45" customHeight="1" x14ac:dyDescent="0.25">
      <c r="D202" s="100" t="s">
        <v>132</v>
      </c>
      <c r="G202" s="264">
        <v>24300</v>
      </c>
      <c r="H202" s="146"/>
      <c r="I202" s="146" t="s">
        <v>231</v>
      </c>
      <c r="J202" s="204">
        <f>L30</f>
        <v>133230</v>
      </c>
      <c r="K202" s="148">
        <f>M30</f>
        <v>220738.05883704498</v>
      </c>
      <c r="L202" s="148">
        <f>N30</f>
        <v>332143.59065556759</v>
      </c>
      <c r="M202" s="148">
        <f>O30</f>
        <v>466452.13027779449</v>
      </c>
      <c r="P202" s="418"/>
      <c r="Q202" s="420"/>
      <c r="U202" s="418"/>
      <c r="V202" s="419"/>
      <c r="W202" s="419"/>
      <c r="X202" s="419"/>
      <c r="Y202" s="419"/>
      <c r="Z202" s="420"/>
    </row>
    <row r="203" spans="2:26" ht="14.45" customHeight="1" x14ac:dyDescent="0.25">
      <c r="D203" s="100" t="s">
        <v>133</v>
      </c>
      <c r="E203" s="100"/>
      <c r="F203" s="100"/>
      <c r="G203" s="147">
        <f>G201 * G202</f>
        <v>4161132</v>
      </c>
      <c r="H203" s="146"/>
      <c r="I203" s="135" t="s">
        <v>232</v>
      </c>
      <c r="J203" s="391">
        <f>$G$207/J201</f>
        <v>19.019528753623725</v>
      </c>
      <c r="K203" s="391">
        <f t="shared" ref="K203:M203" si="17">$G$207/K201</f>
        <v>11.887205471014827</v>
      </c>
      <c r="L203" s="391">
        <f t="shared" si="17"/>
        <v>7.924803647343218</v>
      </c>
      <c r="M203" s="391">
        <f t="shared" si="17"/>
        <v>5.6605740338165846</v>
      </c>
      <c r="P203" s="418"/>
      <c r="Q203" s="420"/>
      <c r="U203" s="418"/>
      <c r="V203" s="419"/>
      <c r="W203" s="419"/>
      <c r="X203" s="419"/>
      <c r="Y203" s="419"/>
      <c r="Z203" s="420"/>
    </row>
    <row r="204" spans="2:26" ht="14.45" customHeight="1" x14ac:dyDescent="0.25">
      <c r="D204" s="100" t="s">
        <v>134</v>
      </c>
      <c r="E204" s="100"/>
      <c r="F204" s="100"/>
      <c r="G204" s="148">
        <f>K151</f>
        <v>8463</v>
      </c>
      <c r="H204" s="146"/>
      <c r="I204" s="146" t="s">
        <v>233</v>
      </c>
      <c r="J204" s="391">
        <f>$G$207/J202</f>
        <v>30.826683179464084</v>
      </c>
      <c r="K204" s="391">
        <f t="shared" ref="K204:M204" si="18">$G$207/K202</f>
        <v>18.605939644653354</v>
      </c>
      <c r="L204" s="391">
        <f t="shared" si="18"/>
        <v>12.365251401942581</v>
      </c>
      <c r="M204" s="391">
        <f t="shared" si="18"/>
        <v>8.8048456281120693</v>
      </c>
      <c r="P204" s="418"/>
      <c r="Q204" s="420"/>
      <c r="U204" s="418"/>
      <c r="V204" s="419"/>
      <c r="W204" s="419"/>
      <c r="X204" s="419"/>
      <c r="Y204" s="419"/>
      <c r="Z204" s="420"/>
    </row>
    <row r="205" spans="2:26" ht="14.45" customHeight="1" x14ac:dyDescent="0.25">
      <c r="D205" s="100" t="s">
        <v>135</v>
      </c>
      <c r="E205" s="100"/>
      <c r="F205" s="100"/>
      <c r="G205" s="148">
        <f>L52</f>
        <v>10605</v>
      </c>
      <c r="H205" s="146"/>
      <c r="I205" s="156" t="str">
        <f>"LTM = FY"&amp;J199</f>
        <v>LTM = FY2026</v>
      </c>
      <c r="J205" s="146"/>
      <c r="K205" s="146"/>
      <c r="P205" s="418"/>
      <c r="Q205" s="420"/>
      <c r="U205" s="418"/>
      <c r="V205" s="419"/>
      <c r="W205" s="419"/>
      <c r="X205" s="419"/>
      <c r="Y205" s="419"/>
      <c r="Z205" s="420"/>
    </row>
    <row r="206" spans="2:26" ht="15" customHeight="1" thickBot="1" x14ac:dyDescent="0.3">
      <c r="D206" s="100" t="s">
        <v>198</v>
      </c>
      <c r="E206" s="100"/>
      <c r="F206" s="100"/>
      <c r="G206" s="148">
        <f>F185</f>
        <v>51951</v>
      </c>
      <c r="H206" s="146"/>
      <c r="I206" s="146"/>
      <c r="J206" s="146"/>
      <c r="K206" s="146"/>
      <c r="P206" s="421"/>
      <c r="Q206" s="423"/>
      <c r="U206" s="421"/>
      <c r="V206" s="422"/>
      <c r="W206" s="422"/>
      <c r="X206" s="422"/>
      <c r="Y206" s="422"/>
      <c r="Z206" s="423"/>
    </row>
    <row r="207" spans="2:26" x14ac:dyDescent="0.25">
      <c r="D207" s="149" t="s">
        <v>129</v>
      </c>
      <c r="E207" s="149"/>
      <c r="F207" s="149"/>
      <c r="G207" s="392">
        <f>G203+G204-G205-G206</f>
        <v>4107039</v>
      </c>
      <c r="H207" s="146"/>
      <c r="I207" s="146"/>
      <c r="J207" s="146"/>
      <c r="K207" s="146"/>
      <c r="U207" s="400" t="s">
        <v>194</v>
      </c>
    </row>
    <row r="208" spans="2:26" x14ac:dyDescent="0.25">
      <c r="H208" s="146"/>
    </row>
    <row r="209" spans="4:20" x14ac:dyDescent="0.25">
      <c r="D209" s="100"/>
      <c r="E209" s="100"/>
      <c r="F209" s="100"/>
      <c r="G209" s="146"/>
      <c r="H209" s="146"/>
      <c r="I209" s="146"/>
      <c r="J209" s="146"/>
      <c r="K209" s="146"/>
    </row>
    <row r="210" spans="4:20" x14ac:dyDescent="0.25">
      <c r="D210" s="358"/>
      <c r="E210" s="358"/>
      <c r="F210" s="358"/>
      <c r="G210" s="358"/>
      <c r="H210" s="358"/>
      <c r="I210" s="358" t="s">
        <v>136</v>
      </c>
      <c r="J210" s="358" t="s">
        <v>137</v>
      </c>
      <c r="K210" s="359" t="s">
        <v>138</v>
      </c>
      <c r="L210" s="359"/>
      <c r="M210" s="375"/>
      <c r="N210" s="360" t="s">
        <v>139</v>
      </c>
      <c r="O210" s="360"/>
      <c r="P210" s="360"/>
    </row>
    <row r="211" spans="4:20" x14ac:dyDescent="0.25">
      <c r="D211" s="361" t="s">
        <v>140</v>
      </c>
      <c r="E211" s="362"/>
      <c r="F211" s="362"/>
      <c r="G211" s="362"/>
      <c r="H211" s="362"/>
      <c r="I211" s="362" t="s">
        <v>141</v>
      </c>
      <c r="J211" s="362" t="s">
        <v>141</v>
      </c>
      <c r="K211" s="363" t="s">
        <v>142</v>
      </c>
      <c r="L211" s="364">
        <f>$M$10</f>
        <v>2027</v>
      </c>
      <c r="M211" s="376">
        <f>$N$10</f>
        <v>2028</v>
      </c>
      <c r="N211" s="363" t="s">
        <v>142</v>
      </c>
      <c r="O211" s="364">
        <f>$M$10</f>
        <v>2027</v>
      </c>
      <c r="P211" s="364">
        <f>$N$10</f>
        <v>2028</v>
      </c>
    </row>
    <row r="212" spans="4:20" x14ac:dyDescent="0.25">
      <c r="D212" s="150" t="s">
        <v>225</v>
      </c>
      <c r="E212" s="150"/>
      <c r="F212" s="150"/>
      <c r="G212" s="151"/>
      <c r="H212" s="151"/>
      <c r="I212" s="152">
        <v>161490</v>
      </c>
      <c r="J212" s="152">
        <v>158330</v>
      </c>
      <c r="K212" s="153">
        <v>6.14</v>
      </c>
      <c r="L212" s="205">
        <v>5.84</v>
      </c>
      <c r="M212" s="377">
        <v>5.45</v>
      </c>
      <c r="N212" s="374">
        <v>30.11</v>
      </c>
      <c r="O212" s="206">
        <v>28.4</v>
      </c>
      <c r="P212" s="374">
        <v>26.8</v>
      </c>
      <c r="T212" s="201"/>
    </row>
    <row r="213" spans="4:20" x14ac:dyDescent="0.25">
      <c r="D213" s="150" t="s">
        <v>220</v>
      </c>
      <c r="E213" s="150"/>
      <c r="F213" s="150"/>
      <c r="G213" s="151"/>
      <c r="H213" s="151"/>
      <c r="I213" s="152">
        <v>174150</v>
      </c>
      <c r="J213" s="152">
        <v>180160</v>
      </c>
      <c r="K213" s="153">
        <v>11.52</v>
      </c>
      <c r="L213" s="205">
        <v>11.04</v>
      </c>
      <c r="M213" s="377">
        <v>10.59</v>
      </c>
      <c r="N213" s="374">
        <v>23.89</v>
      </c>
      <c r="O213" s="206">
        <v>22</v>
      </c>
      <c r="P213" s="374">
        <v>20.149999999999999</v>
      </c>
      <c r="T213" s="201"/>
    </row>
    <row r="214" spans="4:20" x14ac:dyDescent="0.25">
      <c r="D214" s="150" t="s">
        <v>221</v>
      </c>
      <c r="E214" s="150"/>
      <c r="F214" s="150"/>
      <c r="G214" s="151"/>
      <c r="H214" s="151"/>
      <c r="I214" s="152">
        <v>30720</v>
      </c>
      <c r="J214" s="152">
        <v>36920</v>
      </c>
      <c r="K214" s="153">
        <v>7.76</v>
      </c>
      <c r="L214" s="205">
        <v>7.15</v>
      </c>
      <c r="M214" s="377">
        <v>7.08</v>
      </c>
      <c r="N214" s="374">
        <v>25.9</v>
      </c>
      <c r="O214" s="206">
        <v>21.29</v>
      </c>
      <c r="P214" s="374">
        <v>18.45</v>
      </c>
      <c r="T214" s="201"/>
    </row>
    <row r="215" spans="4:20" x14ac:dyDescent="0.25">
      <c r="D215" s="150" t="s">
        <v>222</v>
      </c>
      <c r="E215" s="150"/>
      <c r="F215" s="150"/>
      <c r="G215" s="151"/>
      <c r="H215" s="151"/>
      <c r="I215" s="152">
        <v>111020</v>
      </c>
      <c r="J215" s="152">
        <v>115870</v>
      </c>
      <c r="K215" s="153">
        <v>12.41</v>
      </c>
      <c r="L215" s="205">
        <v>11.74</v>
      </c>
      <c r="M215" s="377">
        <v>11.24</v>
      </c>
      <c r="N215" s="374">
        <v>28.16</v>
      </c>
      <c r="O215" s="206">
        <v>26.45</v>
      </c>
      <c r="P215" s="374">
        <v>24.1</v>
      </c>
      <c r="T215" s="201"/>
    </row>
    <row r="216" spans="4:20" x14ac:dyDescent="0.25">
      <c r="D216" s="150" t="s">
        <v>224</v>
      </c>
      <c r="E216" s="150"/>
      <c r="F216" s="150"/>
      <c r="G216" s="151"/>
      <c r="H216" s="151"/>
      <c r="I216" s="152">
        <v>819930</v>
      </c>
      <c r="J216" s="152">
        <v>777350</v>
      </c>
      <c r="K216" s="153">
        <v>8.8000000000000007</v>
      </c>
      <c r="L216" s="205">
        <v>7.58</v>
      </c>
      <c r="M216" s="377">
        <v>7.45</v>
      </c>
      <c r="N216" s="374">
        <v>12.25</v>
      </c>
      <c r="O216" s="206">
        <v>11.59</v>
      </c>
      <c r="P216" s="374">
        <v>11.02</v>
      </c>
      <c r="T216" s="201"/>
    </row>
    <row r="217" spans="4:20" x14ac:dyDescent="0.25">
      <c r="D217" s="150" t="s">
        <v>223</v>
      </c>
      <c r="E217" s="150"/>
      <c r="F217" s="150"/>
      <c r="G217" s="151"/>
      <c r="H217" s="151"/>
      <c r="I217" s="152">
        <v>17081</v>
      </c>
      <c r="J217" s="152">
        <v>171080</v>
      </c>
      <c r="K217" s="153">
        <v>4.2</v>
      </c>
      <c r="L217" s="205">
        <v>4.0209999999999999</v>
      </c>
      <c r="M217" s="377">
        <v>3.8</v>
      </c>
      <c r="N217" s="374">
        <v>12.77</v>
      </c>
      <c r="O217" s="206">
        <v>12.15</v>
      </c>
      <c r="P217" s="374">
        <v>11.75</v>
      </c>
      <c r="T217" s="201"/>
    </row>
    <row r="218" spans="4:20" x14ac:dyDescent="0.25">
      <c r="D218" s="150" t="s">
        <v>226</v>
      </c>
      <c r="E218" s="150"/>
      <c r="F218" s="150"/>
      <c r="G218" s="151"/>
      <c r="H218" s="151"/>
      <c r="I218" s="152">
        <v>927160</v>
      </c>
      <c r="J218" s="152">
        <v>985156</v>
      </c>
      <c r="K218" s="153">
        <v>19.11</v>
      </c>
      <c r="L218" s="205">
        <v>18.22</v>
      </c>
      <c r="M218" s="377">
        <v>17.63</v>
      </c>
      <c r="N218" s="374">
        <v>41.27</v>
      </c>
      <c r="O218" s="206">
        <v>39.9</v>
      </c>
      <c r="P218" s="374">
        <v>37.450000000000003</v>
      </c>
      <c r="T218" s="201"/>
    </row>
    <row r="219" spans="4:20" x14ac:dyDescent="0.25">
      <c r="D219" s="100"/>
      <c r="E219" s="100"/>
      <c r="F219" s="100"/>
      <c r="G219" s="146"/>
      <c r="H219" s="146"/>
      <c r="I219" s="146"/>
      <c r="J219" s="146"/>
      <c r="K219" s="154"/>
      <c r="L219" s="155"/>
      <c r="M219" s="155"/>
      <c r="N219" s="155"/>
      <c r="O219" s="155"/>
      <c r="P219" s="155"/>
      <c r="T219" s="202"/>
    </row>
    <row r="220" spans="4:20" x14ac:dyDescent="0.25">
      <c r="D220" s="156" t="s">
        <v>143</v>
      </c>
      <c r="E220" s="100"/>
      <c r="F220" s="100"/>
      <c r="J220" s="157" t="s">
        <v>144</v>
      </c>
      <c r="K220" s="412">
        <f>MAX(K212:K218)</f>
        <v>19.11</v>
      </c>
      <c r="L220" s="412">
        <f t="shared" ref="L220:P220" si="19">MAX(L212:L218)</f>
        <v>18.22</v>
      </c>
      <c r="M220" s="412">
        <f t="shared" si="19"/>
        <v>17.63</v>
      </c>
      <c r="N220" s="412">
        <f t="shared" si="19"/>
        <v>41.27</v>
      </c>
      <c r="O220" s="412">
        <f t="shared" si="19"/>
        <v>39.9</v>
      </c>
      <c r="P220" s="412">
        <f t="shared" si="19"/>
        <v>37.450000000000003</v>
      </c>
    </row>
    <row r="221" spans="4:20" x14ac:dyDescent="0.25">
      <c r="D221" s="156" t="s">
        <v>201</v>
      </c>
      <c r="E221" s="100"/>
      <c r="F221" s="100"/>
      <c r="J221" s="157" t="s">
        <v>145</v>
      </c>
      <c r="K221" s="412">
        <f>AVERAGE(K212:K218)</f>
        <v>9.9914285714285711</v>
      </c>
      <c r="L221" s="412">
        <f t="shared" ref="L221:P221" si="20">AVERAGE(L212:L218)</f>
        <v>9.3701428571428576</v>
      </c>
      <c r="M221" s="412">
        <f t="shared" si="20"/>
        <v>9.0342857142857138</v>
      </c>
      <c r="N221" s="412">
        <f t="shared" si="20"/>
        <v>24.907142857142862</v>
      </c>
      <c r="O221" s="412">
        <f t="shared" si="20"/>
        <v>23.111428571428572</v>
      </c>
      <c r="P221" s="412">
        <f t="shared" si="20"/>
        <v>21.388571428571428</v>
      </c>
    </row>
    <row r="222" spans="4:20" x14ac:dyDescent="0.25">
      <c r="E222" s="100"/>
      <c r="F222" s="100"/>
      <c r="J222" s="157" t="s">
        <v>146</v>
      </c>
      <c r="K222" s="412">
        <f>MEDIAN(K212:K218)</f>
        <v>8.8000000000000007</v>
      </c>
      <c r="L222" s="412">
        <f t="shared" ref="L222:P222" si="21">MEDIAN(L212:L218)</f>
        <v>7.58</v>
      </c>
      <c r="M222" s="412">
        <f t="shared" si="21"/>
        <v>7.45</v>
      </c>
      <c r="N222" s="412">
        <f t="shared" si="21"/>
        <v>25.9</v>
      </c>
      <c r="O222" s="412">
        <f t="shared" si="21"/>
        <v>22</v>
      </c>
      <c r="P222" s="412">
        <f t="shared" si="21"/>
        <v>20.149999999999999</v>
      </c>
    </row>
    <row r="223" spans="4:20" x14ac:dyDescent="0.25">
      <c r="D223" s="100"/>
      <c r="E223" s="100"/>
      <c r="F223" s="100"/>
      <c r="J223" s="157" t="s">
        <v>147</v>
      </c>
      <c r="K223" s="412">
        <f>MIN(K212:K218)</f>
        <v>4.2</v>
      </c>
      <c r="L223" s="412">
        <f t="shared" ref="L223:P223" si="22">MIN(L212:L218)</f>
        <v>4.0209999999999999</v>
      </c>
      <c r="M223" s="412">
        <f t="shared" si="22"/>
        <v>3.8</v>
      </c>
      <c r="N223" s="412">
        <f t="shared" si="22"/>
        <v>12.25</v>
      </c>
      <c r="O223" s="412">
        <f t="shared" si="22"/>
        <v>11.59</v>
      </c>
      <c r="P223" s="412">
        <f t="shared" si="22"/>
        <v>11.02</v>
      </c>
    </row>
    <row r="224" spans="4:20" x14ac:dyDescent="0.25">
      <c r="H224" s="146"/>
      <c r="I224" s="146"/>
      <c r="J224" s="146"/>
      <c r="K224" s="146"/>
    </row>
    <row r="225" spans="1:21" x14ac:dyDescent="0.25">
      <c r="D225" s="354" t="str">
        <f>D4&amp;" Implied Enterprise Value"</f>
        <v>NVIDIA Inc Implied Enterprise Value</v>
      </c>
      <c r="E225" s="354"/>
      <c r="F225" s="354"/>
      <c r="G225" s="354"/>
      <c r="H225" s="378"/>
      <c r="I225" s="379">
        <f>G203</f>
        <v>4161132</v>
      </c>
      <c r="J225" s="379">
        <f>G207</f>
        <v>4107039</v>
      </c>
      <c r="K225" s="379">
        <f>K221*J201</f>
        <v>2157529.1028571427</v>
      </c>
      <c r="L225" s="379">
        <f>L221*K201</f>
        <v>3237391.8532571434</v>
      </c>
      <c r="M225" s="379">
        <f>M221*L201</f>
        <v>4682029.4125714293</v>
      </c>
      <c r="N225" s="379">
        <f>N221*J202</f>
        <v>3318378.6428571437</v>
      </c>
      <c r="O225" s="379">
        <f>O221*K202</f>
        <v>5101571.8798081623</v>
      </c>
      <c r="P225" s="379">
        <f>P221*L202</f>
        <v>7104076.9132787967</v>
      </c>
    </row>
    <row r="226" spans="1:21" x14ac:dyDescent="0.25">
      <c r="H226" s="146"/>
      <c r="I226" s="146"/>
      <c r="J226" s="146"/>
      <c r="K226" s="146"/>
    </row>
    <row r="228" spans="1:21" ht="15" customHeight="1" x14ac:dyDescent="0.25">
      <c r="A228" s="1" t="s">
        <v>182</v>
      </c>
      <c r="D228" s="125"/>
    </row>
    <row r="229" spans="1:21" s="192" customFormat="1" ht="18" thickBot="1" x14ac:dyDescent="0.35">
      <c r="A229" s="192" t="s">
        <v>182</v>
      </c>
      <c r="B229" s="191" t="s">
        <v>58</v>
      </c>
      <c r="D229" s="195" t="s">
        <v>148</v>
      </c>
      <c r="E229" s="193"/>
      <c r="F229" s="193"/>
      <c r="G229" s="194"/>
    </row>
    <row r="230" spans="1:21" x14ac:dyDescent="0.25">
      <c r="D230" s="190"/>
      <c r="E230" s="2"/>
      <c r="F230" s="2"/>
      <c r="G230" s="3"/>
    </row>
    <row r="231" spans="1:21" ht="3.95" customHeight="1" x14ac:dyDescent="0.25"/>
    <row r="232" spans="1:21" ht="15.75" thickBot="1" x14ac:dyDescent="0.3">
      <c r="D232" s="301" t="s">
        <v>148</v>
      </c>
      <c r="E232" s="301"/>
      <c r="F232" s="301"/>
      <c r="G232" s="301"/>
      <c r="H232" s="366"/>
      <c r="I232" s="367" t="s">
        <v>2</v>
      </c>
      <c r="J232" s="368"/>
      <c r="K232" s="368"/>
      <c r="L232" s="386"/>
      <c r="M232" s="286" t="s">
        <v>3</v>
      </c>
      <c r="N232" s="286"/>
      <c r="O232" s="286"/>
      <c r="P232" s="286"/>
      <c r="Q232" s="286"/>
    </row>
    <row r="233" spans="1:21" x14ac:dyDescent="0.25">
      <c r="D233" s="125"/>
      <c r="G233" s="7"/>
      <c r="H233" s="8" t="s">
        <v>6</v>
      </c>
      <c r="I233" s="369">
        <f>$I$10</f>
        <v>2023</v>
      </c>
      <c r="J233" s="370">
        <f>$J$10</f>
        <v>2024</v>
      </c>
      <c r="K233" s="370">
        <f>$K$10</f>
        <v>2025</v>
      </c>
      <c r="L233" s="387">
        <f>$L$10</f>
        <v>2026</v>
      </c>
      <c r="M233" s="287">
        <f>$M$10</f>
        <v>2027</v>
      </c>
      <c r="N233" s="287">
        <f>$N$10</f>
        <v>2028</v>
      </c>
      <c r="O233" s="287">
        <f>$O$10</f>
        <v>2029</v>
      </c>
      <c r="P233" s="287">
        <f>$P$10</f>
        <v>2030</v>
      </c>
      <c r="Q233" s="287">
        <f>$Q$10</f>
        <v>2031</v>
      </c>
      <c r="T233" s="415" t="s">
        <v>180</v>
      </c>
      <c r="U233" s="417"/>
    </row>
    <row r="234" spans="1:21" x14ac:dyDescent="0.25">
      <c r="D234" s="125"/>
      <c r="H234" s="9"/>
      <c r="L234" s="158"/>
      <c r="T234" s="418"/>
      <c r="U234" s="420"/>
    </row>
    <row r="235" spans="1:21" ht="14.1" customHeight="1" x14ac:dyDescent="0.25">
      <c r="D235" s="125" t="s">
        <v>149</v>
      </c>
      <c r="E235" s="125"/>
      <c r="F235" s="118"/>
      <c r="L235" s="158"/>
      <c r="T235" s="418"/>
      <c r="U235" s="420"/>
    </row>
    <row r="236" spans="1:21" ht="14.1" customHeight="1" x14ac:dyDescent="0.25">
      <c r="D236" s="12" t="s">
        <v>150</v>
      </c>
      <c r="H236" s="159" t="s">
        <v>22</v>
      </c>
      <c r="I236" s="160"/>
      <c r="J236" s="160">
        <f t="shared" ref="J236:L236" si="23">J14 / J$12</f>
        <v>0.72717573290436954</v>
      </c>
      <c r="K236" s="160">
        <f t="shared" si="23"/>
        <v>0.74988697058169917</v>
      </c>
      <c r="L236" s="161">
        <f t="shared" si="23"/>
        <v>0.71068084357547079</v>
      </c>
      <c r="M236" s="380">
        <f>M14/M12</f>
        <v>0.7599999999999999</v>
      </c>
      <c r="N236" s="380">
        <f t="shared" ref="N236:Q236" si="24">N14/N12</f>
        <v>0.76200000000000001</v>
      </c>
      <c r="O236" s="380">
        <f t="shared" si="24"/>
        <v>0.76400000000000001</v>
      </c>
      <c r="P236" s="380">
        <f t="shared" si="24"/>
        <v>0.76600000000000013</v>
      </c>
      <c r="Q236" s="380">
        <f t="shared" si="24"/>
        <v>0.76800000000000002</v>
      </c>
      <c r="T236" s="418"/>
      <c r="U236" s="420"/>
    </row>
    <row r="237" spans="1:21" ht="14.1" customHeight="1" x14ac:dyDescent="0.25">
      <c r="D237" s="12" t="s">
        <v>151</v>
      </c>
      <c r="H237" s="159" t="s">
        <v>22</v>
      </c>
      <c r="I237" s="160"/>
      <c r="J237" s="160">
        <f t="shared" ref="J237:L237" si="25">J30 / J$12</f>
        <v>0.56596960047273559</v>
      </c>
      <c r="K237" s="160">
        <f t="shared" si="25"/>
        <v>0.63845912166563212</v>
      </c>
      <c r="L237" s="161">
        <f t="shared" si="25"/>
        <v>0.61698265242801176</v>
      </c>
      <c r="M237" s="380">
        <f>M30/M12</f>
        <v>0.63889304695400118</v>
      </c>
      <c r="N237" s="380">
        <f t="shared" ref="N237:Q237" si="26">N30/N12</f>
        <v>0.6408930469540014</v>
      </c>
      <c r="O237" s="380">
        <f t="shared" si="26"/>
        <v>0.64289304695400118</v>
      </c>
      <c r="P237" s="380">
        <f t="shared" si="26"/>
        <v>0.64489304695400129</v>
      </c>
      <c r="Q237" s="380">
        <f t="shared" si="26"/>
        <v>0.64689304695400118</v>
      </c>
      <c r="T237" s="418"/>
      <c r="U237" s="420"/>
    </row>
    <row r="238" spans="1:21" ht="14.1" customHeight="1" x14ac:dyDescent="0.25">
      <c r="D238" s="12" t="s">
        <v>152</v>
      </c>
      <c r="H238" s="159" t="s">
        <v>22</v>
      </c>
      <c r="I238" s="160"/>
      <c r="J238" s="160">
        <f t="shared" ref="J238:L238" si="27">J19 / J$12</f>
        <v>0.54121663766783756</v>
      </c>
      <c r="K238" s="160">
        <f t="shared" si="27"/>
        <v>0.62417526839697468</v>
      </c>
      <c r="L238" s="161">
        <f t="shared" si="27"/>
        <v>0.60381683631412719</v>
      </c>
      <c r="M238" s="380">
        <f>M19/M12</f>
        <v>0.62572723084011661</v>
      </c>
      <c r="N238" s="380">
        <f t="shared" ref="N238:Q238" si="28">N19/N12</f>
        <v>0.62772723084011683</v>
      </c>
      <c r="O238" s="380">
        <f t="shared" si="28"/>
        <v>0.62972723084011673</v>
      </c>
      <c r="P238" s="380">
        <f t="shared" si="28"/>
        <v>0.63172723084011673</v>
      </c>
      <c r="Q238" s="380">
        <f t="shared" si="28"/>
        <v>0.63372723084011662</v>
      </c>
      <c r="T238" s="418"/>
      <c r="U238" s="420"/>
    </row>
    <row r="239" spans="1:21" ht="5.45" customHeight="1" x14ac:dyDescent="0.25">
      <c r="D239" s="12"/>
      <c r="H239" s="159"/>
      <c r="I239" s="160"/>
      <c r="J239" s="160"/>
      <c r="K239" s="160"/>
      <c r="L239" s="161"/>
      <c r="M239" s="171"/>
      <c r="N239" s="171"/>
      <c r="O239" s="171"/>
      <c r="P239" s="171"/>
      <c r="Q239" s="171"/>
      <c r="T239" s="418"/>
      <c r="U239" s="420"/>
    </row>
    <row r="240" spans="1:21" ht="14.1" customHeight="1" thickBot="1" x14ac:dyDescent="0.3">
      <c r="D240" s="17" t="s">
        <v>153</v>
      </c>
      <c r="H240" s="159"/>
      <c r="L240" s="158"/>
      <c r="T240" s="421"/>
      <c r="U240" s="423"/>
    </row>
    <row r="241" spans="4:17" ht="14.1" customHeight="1" x14ac:dyDescent="0.25">
      <c r="D241" s="12" t="s">
        <v>154</v>
      </c>
      <c r="H241" s="159" t="s">
        <v>18</v>
      </c>
      <c r="I241" s="132"/>
      <c r="J241" s="132">
        <f t="shared" ref="J241:L241" si="29">J57 / J67</f>
        <v>4.1712915059730973</v>
      </c>
      <c r="K241" s="132">
        <f t="shared" si="29"/>
        <v>4.4398514988640772</v>
      </c>
      <c r="L241" s="162">
        <f t="shared" si="29"/>
        <v>3.9052638124553058</v>
      </c>
      <c r="M241" s="399">
        <f t="shared" ref="M241:Q241" si="30">M57 / M67</f>
        <v>11.171361637618451</v>
      </c>
      <c r="N241" s="399">
        <f t="shared" si="30"/>
        <v>10.467878203645963</v>
      </c>
      <c r="O241" s="399">
        <f t="shared" si="30"/>
        <v>10.792162124562601</v>
      </c>
      <c r="P241" s="399">
        <f t="shared" si="30"/>
        <v>10.599638534906415</v>
      </c>
      <c r="Q241" s="399">
        <f t="shared" si="30"/>
        <v>10.647034134677833</v>
      </c>
    </row>
    <row r="242" spans="4:17" ht="14.1" customHeight="1" x14ac:dyDescent="0.25">
      <c r="D242" s="12" t="s">
        <v>155</v>
      </c>
      <c r="H242" s="159" t="s">
        <v>18</v>
      </c>
      <c r="I242" s="132"/>
      <c r="J242" s="132">
        <f t="shared" ref="J242:L242" si="31">(J52+J54+J53) / J67</f>
        <v>3.3847239206095381</v>
      </c>
      <c r="K242" s="132">
        <f t="shared" si="31"/>
        <v>3.672355516152269</v>
      </c>
      <c r="L242" s="162">
        <f t="shared" si="31"/>
        <v>3.1409383453036099</v>
      </c>
      <c r="M242" s="399">
        <f t="shared" ref="M242:Q242" si="32">(M52+M54+M53) / M67</f>
        <v>10.068224224753711</v>
      </c>
      <c r="N242" s="399">
        <f t="shared" si="32"/>
        <v>9.3667091050076507</v>
      </c>
      <c r="O242" s="399">
        <f t="shared" si="32"/>
        <v>9.6929770777077522</v>
      </c>
      <c r="P242" s="399">
        <f t="shared" si="32"/>
        <v>9.5024534668928951</v>
      </c>
      <c r="Q242" s="399">
        <f t="shared" si="32"/>
        <v>9.5518651651190645</v>
      </c>
    </row>
    <row r="243" spans="4:17" ht="5.45" customHeight="1" x14ac:dyDescent="0.25">
      <c r="D243" s="12"/>
      <c r="H243" s="159"/>
      <c r="I243" s="132"/>
      <c r="J243" s="132"/>
      <c r="K243" s="132"/>
      <c r="L243" s="162"/>
      <c r="M243" s="132"/>
      <c r="N243" s="132"/>
      <c r="O243" s="132"/>
      <c r="P243" s="132"/>
      <c r="Q243" s="132"/>
    </row>
    <row r="244" spans="4:17" ht="14.1" customHeight="1" x14ac:dyDescent="0.25">
      <c r="D244" s="17" t="s">
        <v>156</v>
      </c>
      <c r="L244" s="158"/>
    </row>
    <row r="245" spans="4:17" ht="14.1" customHeight="1" x14ac:dyDescent="0.25">
      <c r="D245" s="12" t="s">
        <v>157</v>
      </c>
      <c r="H245" s="159" t="s">
        <v>109</v>
      </c>
      <c r="I245" s="383"/>
      <c r="J245" s="163">
        <f t="shared" ref="J245:L245" si="33">AVERAGE(I54:J54) / J12 * 365</f>
        <v>41.4176323823906</v>
      </c>
      <c r="K245" s="163">
        <f t="shared" si="33"/>
        <v>46.239990191345399</v>
      </c>
      <c r="L245" s="388">
        <f t="shared" si="33"/>
        <v>52.002924450536725</v>
      </c>
      <c r="M245" s="398">
        <f t="shared" ref="M245" si="34">AVERAGE(L54:M54) / M12 * 365</f>
        <v>39.811847034797019</v>
      </c>
      <c r="N245" s="398">
        <f t="shared" ref="N245" si="35">AVERAGE(M54:N54) / N12 * 365</f>
        <v>32.488974458718083</v>
      </c>
      <c r="O245" s="398">
        <f t="shared" ref="O245" si="36">AVERAGE(N54:O54) / O12 * 365</f>
        <v>33.417230871824316</v>
      </c>
      <c r="P245" s="398">
        <f t="shared" ref="P245" si="37">AVERAGE(O54:P54) / P12 * 365</f>
        <v>34.488295963869973</v>
      </c>
      <c r="Q245" s="398">
        <f t="shared" ref="Q245" si="38">AVERAGE(P54:Q54) / Q12 * 365</f>
        <v>35.737871904589895</v>
      </c>
    </row>
    <row r="246" spans="4:17" ht="14.1" customHeight="1" x14ac:dyDescent="0.25">
      <c r="D246" s="12" t="s">
        <v>158</v>
      </c>
      <c r="H246" s="159" t="s">
        <v>109</v>
      </c>
      <c r="I246" s="383"/>
      <c r="J246" s="163">
        <f t="shared" ref="J246:L246" si="39">AVERAGE(I64:J64) / J13 * 365</f>
        <v>42.734492509475963</v>
      </c>
      <c r="K246" s="163">
        <f t="shared" si="39"/>
        <v>50.373556175127916</v>
      </c>
      <c r="L246" s="388">
        <f t="shared" si="39"/>
        <v>47.095078031212481</v>
      </c>
      <c r="M246" s="398">
        <f t="shared" ref="M246" si="40">AVERAGE(L64:M64) / M13 * 365</f>
        <v>40.027916175546892</v>
      </c>
      <c r="N246" s="398">
        <f t="shared" ref="N246" si="41">AVERAGE(M64:N64) / N13 * 365</f>
        <v>30.824218763135498</v>
      </c>
      <c r="O246" s="398">
        <f t="shared" ref="O246" si="42">AVERAGE(N64:O64) / O13 * 365</f>
        <v>31.710273940084509</v>
      </c>
      <c r="P246" s="398">
        <f t="shared" ref="P246" si="43">AVERAGE(O64:P64) / P13 * 365</f>
        <v>32.732662558777619</v>
      </c>
      <c r="Q246" s="398">
        <f t="shared" ref="Q246" si="44">AVERAGE(P64:Q64) / Q13 * 365</f>
        <v>33.92546846324737</v>
      </c>
    </row>
    <row r="247" spans="4:17" ht="5.45" customHeight="1" x14ac:dyDescent="0.25">
      <c r="D247" s="12"/>
      <c r="L247" s="158"/>
    </row>
    <row r="248" spans="4:17" ht="14.1" customHeight="1" x14ac:dyDescent="0.25">
      <c r="D248" s="17" t="s">
        <v>159</v>
      </c>
      <c r="L248" s="158"/>
    </row>
    <row r="249" spans="4:17" ht="14.1" customHeight="1" x14ac:dyDescent="0.25">
      <c r="D249" s="12" t="s">
        <v>160</v>
      </c>
      <c r="H249" s="159" t="s">
        <v>22</v>
      </c>
      <c r="I249" s="108"/>
      <c r="J249" s="160">
        <f t="shared" ref="J249:L249" si="45">(J69+J65) / J73</f>
        <v>0.22590627763041557</v>
      </c>
      <c r="K249" s="160">
        <f t="shared" si="45"/>
        <v>0.10668498745698186</v>
      </c>
      <c r="L249" s="161">
        <f t="shared" si="45"/>
        <v>5.3835835033981171E-2</v>
      </c>
      <c r="M249" s="380">
        <f t="shared" ref="M249:Q249" si="46">(M69+M65) / M73</f>
        <v>3.5878872921759848E-2</v>
      </c>
      <c r="N249" s="380">
        <f t="shared" si="46"/>
        <v>2.1484631650292185E-2</v>
      </c>
      <c r="O249" s="380">
        <f t="shared" si="46"/>
        <v>1.1891806558675375E-2</v>
      </c>
      <c r="P249" s="380">
        <f t="shared" si="46"/>
        <v>6.8715890393921796E-3</v>
      </c>
      <c r="Q249" s="380">
        <f t="shared" si="46"/>
        <v>3.636982129615995E-3</v>
      </c>
    </row>
    <row r="250" spans="4:17" ht="14.1" customHeight="1" x14ac:dyDescent="0.25">
      <c r="D250" s="12" t="s">
        <v>161</v>
      </c>
      <c r="H250" s="159" t="s">
        <v>22</v>
      </c>
      <c r="I250" s="108"/>
      <c r="J250" s="160">
        <f t="shared" ref="J250:L250" si="47">(J69+J65) / (J69+J65+ J73)</f>
        <v>0.1842769563649477</v>
      </c>
      <c r="K250" s="160">
        <f t="shared" si="47"/>
        <v>9.6400501196035993E-2</v>
      </c>
      <c r="L250" s="161">
        <f t="shared" si="47"/>
        <v>5.1085599145758047E-2</v>
      </c>
      <c r="M250" s="380">
        <f t="shared" ref="M250:Q250" si="48">(M69+M65) / (M69+M65+ M73)</f>
        <v>3.4636166312149302E-2</v>
      </c>
      <c r="N250" s="380">
        <f t="shared" si="48"/>
        <v>2.1032750747881541E-2</v>
      </c>
      <c r="O250" s="380">
        <f t="shared" si="48"/>
        <v>1.1752053412822865E-2</v>
      </c>
      <c r="P250" s="380">
        <f t="shared" si="48"/>
        <v>6.8246925568215032E-3</v>
      </c>
      <c r="Q250" s="380">
        <f t="shared" si="48"/>
        <v>3.6238024249551741E-3</v>
      </c>
    </row>
    <row r="251" spans="4:17" ht="14.1" customHeight="1" x14ac:dyDescent="0.25">
      <c r="D251" s="12" t="s">
        <v>162</v>
      </c>
      <c r="H251" s="159" t="s">
        <v>18</v>
      </c>
      <c r="I251" s="132"/>
      <c r="J251" s="274">
        <f t="shared" ref="J251:L251" si="49">(J69+J65)/J30</f>
        <v>0.28158352668213454</v>
      </c>
      <c r="K251" s="274">
        <f t="shared" si="49"/>
        <v>0.10157590887814011</v>
      </c>
      <c r="L251" s="389">
        <f t="shared" si="49"/>
        <v>6.3559258425279597E-2</v>
      </c>
      <c r="M251" s="399">
        <f t="shared" ref="M251:Q251" si="50">(M69+M65)/M30</f>
        <v>3.267673929000544E-2</v>
      </c>
      <c r="N251" s="399">
        <f t="shared" si="50"/>
        <v>1.7953078631535668E-2</v>
      </c>
      <c r="O251" s="399">
        <f t="shared" si="50"/>
        <v>1.0103930701727493E-2</v>
      </c>
      <c r="P251" s="399">
        <f t="shared" si="50"/>
        <v>5.6931561107958608E-3</v>
      </c>
      <c r="Q251" s="399">
        <f t="shared" si="50"/>
        <v>3.0224281140421409E-3</v>
      </c>
    </row>
    <row r="252" spans="4:17" ht="5.0999999999999996" customHeight="1" x14ac:dyDescent="0.25">
      <c r="L252" s="158"/>
    </row>
    <row r="253" spans="4:17" ht="14.1" customHeight="1" x14ac:dyDescent="0.25">
      <c r="D253" s="17" t="s">
        <v>163</v>
      </c>
      <c r="L253" s="158"/>
    </row>
    <row r="254" spans="4:17" ht="14.1" customHeight="1" x14ac:dyDescent="0.25">
      <c r="D254" s="12" t="s">
        <v>164</v>
      </c>
      <c r="H254" s="159" t="s">
        <v>18</v>
      </c>
      <c r="I254" s="233"/>
      <c r="J254" s="132">
        <f t="shared" ref="J254:L254" si="51">J30 / - J23</f>
        <v>134.16342412451363</v>
      </c>
      <c r="K254" s="132">
        <f t="shared" si="51"/>
        <v>337.31578947368422</v>
      </c>
      <c r="L254" s="162">
        <f t="shared" si="51"/>
        <v>514.40154440154436</v>
      </c>
      <c r="M254" s="399">
        <f t="shared" ref="M254:Q254" si="52">M30 / - M23</f>
        <v>1037.4867826405502</v>
      </c>
      <c r="N254" s="399">
        <f t="shared" si="52"/>
        <v>1888.3493917094222</v>
      </c>
      <c r="O254" s="399">
        <f t="shared" si="52"/>
        <v>3355.2966774975557</v>
      </c>
      <c r="P254" s="399">
        <f t="shared" si="52"/>
        <v>5954.8138946839099</v>
      </c>
      <c r="Q254" s="399">
        <f t="shared" si="52"/>
        <v>11216.70518999782</v>
      </c>
    </row>
    <row r="255" spans="4:17" ht="14.1" customHeight="1" x14ac:dyDescent="0.25">
      <c r="D255" s="12" t="s">
        <v>165</v>
      </c>
      <c r="H255" s="159" t="s">
        <v>18</v>
      </c>
      <c r="I255" s="233"/>
      <c r="J255" s="132">
        <f t="shared" ref="J255:L255" si="53">(J30 - J83) / - J23</f>
        <v>130.00389105058366</v>
      </c>
      <c r="K255" s="132">
        <f t="shared" si="53"/>
        <v>324.21457489878543</v>
      </c>
      <c r="L255" s="162">
        <f t="shared" si="53"/>
        <v>491.07335907335909</v>
      </c>
      <c r="M255" s="399">
        <f t="shared" ref="M255:Q255" si="54">(M30 - M83) / - M23</f>
        <v>981.34954967244403</v>
      </c>
      <c r="N255" s="399">
        <f t="shared" si="54"/>
        <v>1786.4918045723393</v>
      </c>
      <c r="O255" s="399">
        <f t="shared" si="54"/>
        <v>3174.8749696813466</v>
      </c>
      <c r="P255" s="399">
        <f t="shared" si="54"/>
        <v>5635.603452402901</v>
      </c>
      <c r="Q255" s="399">
        <f t="shared" si="54"/>
        <v>10617.287696123911</v>
      </c>
    </row>
    <row r="258" spans="1:12" s="192" customFormat="1" ht="18" thickBot="1" x14ac:dyDescent="0.35">
      <c r="A258" s="192" t="s">
        <v>182</v>
      </c>
      <c r="B258" s="191" t="s">
        <v>81</v>
      </c>
      <c r="D258" s="195" t="s">
        <v>229</v>
      </c>
      <c r="E258" s="193"/>
      <c r="F258" s="193"/>
      <c r="G258" s="194"/>
    </row>
    <row r="260" spans="1:12" ht="30" x14ac:dyDescent="0.25">
      <c r="D260" s="371" t="s">
        <v>166</v>
      </c>
      <c r="E260" s="372"/>
      <c r="F260" s="372"/>
      <c r="G260" s="372"/>
      <c r="H260" s="372"/>
      <c r="I260" s="372" t="s">
        <v>129</v>
      </c>
      <c r="J260" s="372" t="s">
        <v>167</v>
      </c>
      <c r="K260" s="372" t="s">
        <v>183</v>
      </c>
      <c r="L260" s="373" t="s">
        <v>184</v>
      </c>
    </row>
    <row r="261" spans="1:12" x14ac:dyDescent="0.25">
      <c r="D261" s="166" t="str">
        <f>D4&amp;" Enterprise Value July 2024"</f>
        <v>NVIDIA Inc Enterprise Value July 2024</v>
      </c>
      <c r="H261" s="146"/>
      <c r="I261" s="214">
        <f>G207</f>
        <v>4107039</v>
      </c>
      <c r="J261" s="229">
        <f>G207/G202</f>
        <v>169.01395061728394</v>
      </c>
      <c r="K261" s="215">
        <v>0.25</v>
      </c>
      <c r="L261" s="216">
        <f>K261*J261</f>
        <v>42.253487654320985</v>
      </c>
    </row>
    <row r="262" spans="1:12" x14ac:dyDescent="0.25">
      <c r="D262" s="166" t="str">
        <f>D4&amp;" DCF valuation July 2022"</f>
        <v>NVIDIA Inc DCF valuation July 2022</v>
      </c>
      <c r="H262" s="146"/>
      <c r="I262" s="214">
        <f>F182</f>
        <v>5336025.2459076149</v>
      </c>
      <c r="J262" s="230">
        <f>F188</f>
        <v>221.81556567521048</v>
      </c>
      <c r="K262" s="215">
        <v>0.25</v>
      </c>
      <c r="L262" s="216">
        <f t="shared" ref="L262:L264" si="55">K262*J262</f>
        <v>55.45389141880262</v>
      </c>
    </row>
    <row r="263" spans="1:12" x14ac:dyDescent="0.25">
      <c r="D263" s="166" t="str">
        <f>D4&amp;" FY1 EV/Revenue - Trading Comps"</f>
        <v>NVIDIA Inc FY1 EV/Revenue - Trading Comps</v>
      </c>
      <c r="H263" s="146"/>
      <c r="I263" s="217">
        <f>L225</f>
        <v>3237391.8532571434</v>
      </c>
      <c r="J263" s="231">
        <f>(I263-G204+G205+G206)/G202</f>
        <v>135.45205157436803</v>
      </c>
      <c r="K263" s="215">
        <v>0.25</v>
      </c>
      <c r="L263" s="216">
        <f t="shared" si="55"/>
        <v>33.863012893592007</v>
      </c>
    </row>
    <row r="264" spans="1:12" x14ac:dyDescent="0.25">
      <c r="D264" s="167" t="str">
        <f>D4&amp;" FY1 EV/EBITDA - Trading Comps"</f>
        <v>NVIDIA Inc FY1 EV/EBITDA - Trading Comps</v>
      </c>
      <c r="E264" s="168"/>
      <c r="F264" s="168"/>
      <c r="G264" s="168"/>
      <c r="H264" s="169"/>
      <c r="I264" s="170">
        <f>O225</f>
        <v>5101571.8798081623</v>
      </c>
      <c r="J264" s="232">
        <f>(I264-G204+G205+G206)/G202</f>
        <v>212.16727900445113</v>
      </c>
      <c r="K264" s="218">
        <v>0.25</v>
      </c>
      <c r="L264" s="219">
        <f t="shared" si="55"/>
        <v>53.041819751112783</v>
      </c>
    </row>
    <row r="265" spans="1:12" x14ac:dyDescent="0.25">
      <c r="H265" s="146"/>
      <c r="I265" s="146"/>
      <c r="J265" s="270" t="s">
        <v>185</v>
      </c>
      <c r="K265" s="271"/>
      <c r="L265" s="265">
        <f>SUM(L261:L264)</f>
        <v>184.61221171782842</v>
      </c>
    </row>
    <row r="266" spans="1:12" x14ac:dyDescent="0.25">
      <c r="J266" s="266"/>
      <c r="K266" s="267" t="s">
        <v>228</v>
      </c>
      <c r="L266" s="268">
        <f>G201</f>
        <v>171.24</v>
      </c>
    </row>
    <row r="267" spans="1:12" ht="15.75" thickBot="1" x14ac:dyDescent="0.3">
      <c r="D267" s="17" t="s">
        <v>229</v>
      </c>
      <c r="F267" s="272" t="s">
        <v>196</v>
      </c>
      <c r="J267" s="266"/>
      <c r="K267" s="267" t="s">
        <v>227</v>
      </c>
      <c r="L267" s="269">
        <f>L265/L266-1</f>
        <v>7.8090467868654478E-2</v>
      </c>
    </row>
    <row r="268" spans="1:12" ht="15.75" thickBot="1" x14ac:dyDescent="0.3">
      <c r="D268" s="390" t="s">
        <v>197</v>
      </c>
      <c r="F268" s="272" t="s">
        <v>197</v>
      </c>
    </row>
    <row r="269" spans="1:12" x14ac:dyDescent="0.25">
      <c r="F269" s="1" t="s">
        <v>181</v>
      </c>
    </row>
    <row r="270" spans="1:12" ht="15.75" thickBot="1" x14ac:dyDescent="0.3">
      <c r="D270" s="17" t="s">
        <v>195</v>
      </c>
    </row>
    <row r="271" spans="1:12" ht="49.5" customHeight="1" x14ac:dyDescent="0.25">
      <c r="D271" s="424" t="s">
        <v>290</v>
      </c>
      <c r="E271" s="413"/>
      <c r="F271" s="413"/>
      <c r="G271" s="413"/>
      <c r="H271" s="425"/>
    </row>
    <row r="272" spans="1:12" ht="49.5" customHeight="1" thickBot="1" x14ac:dyDescent="0.3">
      <c r="D272" s="426"/>
      <c r="E272" s="427"/>
      <c r="F272" s="427"/>
      <c r="G272" s="427"/>
      <c r="H272" s="428"/>
    </row>
    <row r="274" spans="4:8" ht="15.75" thickBot="1" x14ac:dyDescent="0.3">
      <c r="D274" s="17" t="s">
        <v>230</v>
      </c>
    </row>
    <row r="275" spans="4:8" ht="48" customHeight="1" x14ac:dyDescent="0.25">
      <c r="D275" s="424" t="s">
        <v>289</v>
      </c>
      <c r="E275" s="413"/>
      <c r="F275" s="413"/>
      <c r="G275" s="413"/>
      <c r="H275" s="425"/>
    </row>
    <row r="276" spans="4:8" ht="48" customHeight="1" x14ac:dyDescent="0.25">
      <c r="D276" s="449"/>
      <c r="E276" s="414"/>
      <c r="F276" s="414"/>
      <c r="G276" s="414"/>
      <c r="H276" s="450"/>
    </row>
    <row r="277" spans="4:8" x14ac:dyDescent="0.25">
      <c r="D277" s="449"/>
      <c r="E277" s="414"/>
      <c r="F277" s="414"/>
      <c r="G277" s="414"/>
      <c r="H277" s="450"/>
    </row>
    <row r="278" spans="4:8" ht="15.75" thickBot="1" x14ac:dyDescent="0.3">
      <c r="D278" s="426"/>
      <c r="E278" s="427"/>
      <c r="F278" s="427"/>
      <c r="G278" s="427"/>
      <c r="H278" s="428"/>
    </row>
    <row r="961" spans="648:648" ht="15.75" x14ac:dyDescent="0.25">
      <c r="XX961" s="210">
        <v>64765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2">
    <mergeCell ref="D275:H278"/>
    <mergeCell ref="U3:AF5"/>
    <mergeCell ref="D271:H272"/>
    <mergeCell ref="T233:U240"/>
    <mergeCell ref="H187:H191"/>
    <mergeCell ref="P199:Q206"/>
    <mergeCell ref="U140:Z147"/>
    <mergeCell ref="U162:Z169"/>
    <mergeCell ref="U199:Z206"/>
    <mergeCell ref="I9:L9"/>
    <mergeCell ref="I49:L49"/>
    <mergeCell ref="I94:L94"/>
  </mergeCells>
  <conditionalFormatting sqref="F152 M249:Q251 M254:Q255">
    <cfRule type="expression" dxfId="39" priority="31">
      <formula>F152=""</formula>
    </cfRule>
  </conditionalFormatting>
  <conditionalFormatting sqref="F180:F188">
    <cfRule type="expression" dxfId="36" priority="22">
      <formula>F180=""</formula>
    </cfRule>
  </conditionalFormatting>
  <conditionalFormatting sqref="G143">
    <cfRule type="expression" dxfId="34" priority="43">
      <formula>G143=""</formula>
    </cfRule>
  </conditionalFormatting>
  <conditionalFormatting sqref="G147">
    <cfRule type="expression" dxfId="32" priority="40">
      <formula>G147=""</formula>
    </cfRule>
  </conditionalFormatting>
  <conditionalFormatting sqref="G150:G152">
    <cfRule type="expression" dxfId="27" priority="34">
      <formula>G150=""</formula>
    </cfRule>
  </conditionalFormatting>
  <conditionalFormatting sqref="G154">
    <cfRule type="expression" dxfId="26" priority="19">
      <formula>G154=""</formula>
    </cfRule>
  </conditionalFormatting>
  <conditionalFormatting sqref="I186">
    <cfRule type="expression" dxfId="22" priority="16">
      <formula>I186=""</formula>
    </cfRule>
  </conditionalFormatting>
  <conditionalFormatting sqref="I189">
    <cfRule type="expression" dxfId="18" priority="10">
      <formula>I189=""</formula>
    </cfRule>
  </conditionalFormatting>
  <conditionalFormatting sqref="I174:M174">
    <cfRule type="expression" dxfId="17" priority="28">
      <formula>I174=""</formula>
    </cfRule>
  </conditionalFormatting>
  <conditionalFormatting sqref="I176:M176">
    <cfRule type="expression" dxfId="14" priority="25">
      <formula>I176=""</formula>
    </cfRule>
  </conditionalFormatting>
  <conditionalFormatting sqref="L186">
    <cfRule type="expression" dxfId="9" priority="13">
      <formula>L186=""</formula>
    </cfRule>
  </conditionalFormatting>
  <conditionalFormatting sqref="M236:Q238">
    <cfRule type="expression" dxfId="6" priority="7">
      <formula>M236=""</formula>
    </cfRule>
  </conditionalFormatting>
  <conditionalFormatting sqref="M241:Q242">
    <cfRule type="expression" dxfId="3" priority="4">
      <formula>M241=""</formula>
    </cfRule>
  </conditionalFormatting>
  <conditionalFormatting sqref="M245:Q246">
    <cfRule type="expression" dxfId="2" priority="1">
      <formula>M245=""</formula>
    </cfRule>
  </conditionalFormatting>
  <dataValidations count="1">
    <dataValidation type="list" allowBlank="1" showInputMessage="1" showErrorMessage="1" sqref="D268" xr:uid="{DE970F62-E27C-41AC-8704-24E9226B72DA}">
      <formula1>$F$267:$F$269</formula1>
    </dataValidation>
  </dataValidations>
  <hyperlinks>
    <hyperlink ref="U149" r:id="rId1" display="https://youtu.be/WxoGiOQlQKk" xr:uid="{12A2281B-33C0-43FF-B780-81116FAF3DFB}"/>
    <hyperlink ref="U170" r:id="rId2" display="https://youtu.be/nU_HilBSWT8" xr:uid="{775FE7C2-6BB9-4375-98F3-18E2584263D4}"/>
    <hyperlink ref="U6" r:id="rId3" xr:uid="{00A4A656-3688-EF45-B9B1-99F21BEBF991}"/>
  </hyperlinks>
  <pageMargins left="0.7" right="0.7" top="0.75" bottom="0.75" header="0.3" footer="0.3"/>
  <ignoredErrors>
    <ignoredError sqref="I264:L267 D261:D264 I51:Q51 M95:Q96 I96:L96 L141:N150 K151:K154 G144:G146 F150:F151 I162:N167 G199:Q200 I261:L263 I233:Q235 M261:Q263 I192:N192 I187:N188 I177:N185 N174 I190:N191 J189:N189 I78:Q88 I77:L77 N77:Q77 I169:N173 N168 I256:Q260 I245:I246 I50:J50 M50:Q50 I95:J95 G205:Q206 H201:Q201 H202:Q202 G148:G149 F153 N175:N176 J186:K186 M186:N186 G203:I204 N203:Q204 G208:Q219 H207:Q207 G224:Q226 G220:J223 Q220:Q223 I236:L244 I247:L255 P220" unlockedFormula="1"/>
    <ignoredError sqref="I168:M168 J245:L246" formulaRange="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4C284673-4D5C-4C54-A303-4874E5EDC830}">
            <xm:f>F152&lt;&gt;CONDFORM!F153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32" id="{761F849F-6508-41A5-964B-40FF9146F4C6}">
            <xm:f>F152=CONDFORM!F153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F152 M249:Q251 M254:Q255</xm:sqref>
        </x14:conditionalFormatting>
        <x14:conditionalFormatting xmlns:xm="http://schemas.microsoft.com/office/excel/2006/main">
          <x14:cfRule type="expression" priority="24" id="{58B6A381-884F-4D98-966D-EBFC506E07E2}">
            <xm:f>F180&lt;&gt;CONDFORM!F181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23" id="{8E636ECB-6D42-4DBB-8039-62A01A44A049}">
            <xm:f>F180=CONDFORM!F181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F180:F188</xm:sqref>
        </x14:conditionalFormatting>
        <x14:conditionalFormatting xmlns:xm="http://schemas.microsoft.com/office/excel/2006/main">
          <x14:cfRule type="expression" priority="44" id="{D9033C27-50DF-49B9-9353-0FA48A6C4DB1}">
            <xm:f>G143=CONDFORM!G144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45" id="{2316570D-8082-4B3E-8F5D-E2AB3F3100AA}">
            <xm:f>G143&lt;&gt;CONDFORM!G144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G143</xm:sqref>
        </x14:conditionalFormatting>
        <x14:conditionalFormatting xmlns:xm="http://schemas.microsoft.com/office/excel/2006/main">
          <x14:cfRule type="expression" priority="42" id="{24AEBAF3-BDF5-4B56-9963-C4A308851D50}">
            <xm:f>G147&lt;&gt;CONDFORM!G148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41" id="{951DA3FF-EEBB-44E3-B954-6D0C711CD6EB}">
            <xm:f>G147=CONDFORM!G148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G147</xm:sqref>
        </x14:conditionalFormatting>
        <x14:conditionalFormatting xmlns:xm="http://schemas.microsoft.com/office/excel/2006/main">
          <x14:cfRule type="expression" priority="36" id="{26821123-CC07-4E2E-AFEA-39D4626C55A5}">
            <xm:f>G150&lt;&gt;CONDFORM!G151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35" id="{BABC0759-F938-489C-89E7-647D30C7D332}">
            <xm:f>G150=CONDFORM!G151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G150:G152</xm:sqref>
        </x14:conditionalFormatting>
        <x14:conditionalFormatting xmlns:xm="http://schemas.microsoft.com/office/excel/2006/main">
          <x14:cfRule type="expression" priority="20" id="{136B877E-5921-4A77-8A52-9CD5E6AD8ABB}">
            <xm:f>G154=CONDFORM!G155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21" id="{266AD112-BBE9-49D1-AB78-4909EE89A893}">
            <xm:f>G154&lt;&gt;CONDFORM!G155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G154</xm:sqref>
        </x14:conditionalFormatting>
        <x14:conditionalFormatting xmlns:xm="http://schemas.microsoft.com/office/excel/2006/main">
          <x14:cfRule type="expression" priority="17" id="{DAF3BC54-C126-4588-875A-D65010C71719}">
            <xm:f>I186=CONDFORM!I187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18" id="{7B8E2592-BCEF-48EF-8185-4FD400015C7B}">
            <xm:f>I186&lt;&gt;CONDFORM!I187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I186</xm:sqref>
        </x14:conditionalFormatting>
        <x14:conditionalFormatting xmlns:xm="http://schemas.microsoft.com/office/excel/2006/main">
          <x14:cfRule type="expression" priority="11" id="{ED11DE3C-EFA3-4A43-A9BA-90C79897A175}">
            <xm:f>I189=CONDFORM!I190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12" id="{CF5AA237-081B-46B1-A794-7F6197D2F3E0}">
            <xm:f>I189&lt;&gt;CONDFORM!I190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I189</xm:sqref>
        </x14:conditionalFormatting>
        <x14:conditionalFormatting xmlns:xm="http://schemas.microsoft.com/office/excel/2006/main">
          <x14:cfRule type="expression" priority="29" id="{355C45C1-0889-426B-A549-B437A0CE393F}">
            <xm:f>I174=CONDFORM!I175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30" id="{7F3BCD70-BBB5-4F66-BE3B-900C3E17FB67}">
            <xm:f>I174&lt;&gt;CONDFORM!I175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I174:M174</xm:sqref>
        </x14:conditionalFormatting>
        <x14:conditionalFormatting xmlns:xm="http://schemas.microsoft.com/office/excel/2006/main">
          <x14:cfRule type="expression" priority="26" id="{11AE9A5F-BA2A-4BF2-A06C-2E719025DC19}">
            <xm:f>I176=CONDFORM!I177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14:cfRule type="expression" priority="27" id="{B2ED49DF-C50D-40C2-A531-DBCCE8D4EC06}">
            <xm:f>I176&lt;&gt;CONDFORM!I177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m:sqref>I176:M176</xm:sqref>
        </x14:conditionalFormatting>
        <x14:conditionalFormatting xmlns:xm="http://schemas.microsoft.com/office/excel/2006/main">
          <x14:cfRule type="expression" priority="15" id="{D55F3996-33B7-4825-8818-B2C1A01AFA45}">
            <xm:f>L186&lt;&gt;CONDFORM!L187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14" id="{4C18DAAC-2273-46D3-8ACE-C4C33FD4BA4E}">
            <xm:f>L186=CONDFORM!L187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L186</xm:sqref>
        </x14:conditionalFormatting>
        <x14:conditionalFormatting xmlns:xm="http://schemas.microsoft.com/office/excel/2006/main">
          <x14:cfRule type="expression" priority="9" id="{2E5B0A31-B1B3-419A-8B22-4F7414DFFA02}">
            <xm:f>M236&lt;&gt;CONDFORM!M237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8" id="{AFAA3E9F-9848-4BDD-B702-C21B9A2F8D09}">
            <xm:f>M236=CONDFORM!M237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M236:Q238</xm:sqref>
        </x14:conditionalFormatting>
        <x14:conditionalFormatting xmlns:xm="http://schemas.microsoft.com/office/excel/2006/main">
          <x14:cfRule type="expression" priority="6" id="{72506096-08C5-4BC3-B87F-0BC49D96C6C7}">
            <xm:f>M241&lt;&gt;CONDFORM!M242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5" id="{DB049DBC-B8E3-4387-B35B-88A98A0A8D9A}">
            <xm:f>M241=CONDFORM!M242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M241:Q242</xm:sqref>
        </x14:conditionalFormatting>
        <x14:conditionalFormatting xmlns:xm="http://schemas.microsoft.com/office/excel/2006/main">
          <x14:cfRule type="expression" priority="3" id="{39EC1B31-6189-432A-B09C-AC873237B5A3}">
            <xm:f>M245&lt;&gt;CONDFORM!M246</xm:f>
            <x14:dxf>
              <font>
                <color theme="5"/>
              </font>
              <fill>
                <patternFill>
                  <bgColor theme="4"/>
                </patternFill>
              </fill>
            </x14:dxf>
          </x14:cfRule>
          <x14:cfRule type="expression" priority="2" id="{8F51BE2C-AD6E-40A4-860F-7D9BC0D44A26}">
            <xm:f>M245=CONDFORM!M246</xm:f>
            <x14:dxf>
              <font>
                <color theme="7"/>
              </font>
              <fill>
                <patternFill>
                  <bgColor theme="6"/>
                </patternFill>
              </fill>
            </x14:dxf>
          </x14:cfRule>
          <xm:sqref>M245:Q246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82A-84B1-493F-9D82-58C87A7AA0C9}">
  <dimension ref="A1:D42"/>
  <sheetViews>
    <sheetView workbookViewId="0">
      <selection activeCell="B2" sqref="B2"/>
    </sheetView>
  </sheetViews>
  <sheetFormatPr defaultColWidth="8.85546875" defaultRowHeight="15" x14ac:dyDescent="0.25"/>
  <cols>
    <col min="1" max="1" width="20.7109375" bestFit="1" customWidth="1"/>
    <col min="2" max="2" width="27.85546875" customWidth="1"/>
    <col min="3" max="3" width="13.7109375" bestFit="1" customWidth="1"/>
    <col min="4" max="4" width="6" bestFit="1" customWidth="1"/>
  </cols>
  <sheetData>
    <row r="1" spans="1:4" x14ac:dyDescent="0.25">
      <c r="A1" t="s">
        <v>200</v>
      </c>
      <c r="B1" t="s">
        <v>186</v>
      </c>
      <c r="C1" t="s">
        <v>187</v>
      </c>
      <c r="D1" t="s">
        <v>271</v>
      </c>
    </row>
    <row r="2" spans="1:4" x14ac:dyDescent="0.25">
      <c r="A2" t="s">
        <v>202</v>
      </c>
      <c r="B2" t="s">
        <v>234</v>
      </c>
      <c r="D2">
        <v>3</v>
      </c>
    </row>
    <row r="3" spans="1:4" x14ac:dyDescent="0.25">
      <c r="A3" t="s">
        <v>202</v>
      </c>
      <c r="B3" t="s">
        <v>188</v>
      </c>
      <c r="D3">
        <v>3</v>
      </c>
    </row>
    <row r="4" spans="1:4" x14ac:dyDescent="0.25">
      <c r="A4" t="s">
        <v>202</v>
      </c>
      <c r="B4" t="s">
        <v>235</v>
      </c>
      <c r="D4">
        <v>3</v>
      </c>
    </row>
    <row r="5" spans="1:4" x14ac:dyDescent="0.25">
      <c r="A5" t="s">
        <v>202</v>
      </c>
      <c r="B5" t="s">
        <v>236</v>
      </c>
      <c r="D5">
        <v>3</v>
      </c>
    </row>
    <row r="6" spans="1:4" x14ac:dyDescent="0.25">
      <c r="A6" t="s">
        <v>202</v>
      </c>
      <c r="B6" t="s">
        <v>237</v>
      </c>
      <c r="D6">
        <v>3</v>
      </c>
    </row>
    <row r="7" spans="1:4" x14ac:dyDescent="0.25">
      <c r="A7" t="s">
        <v>202</v>
      </c>
      <c r="B7" t="s">
        <v>238</v>
      </c>
      <c r="D7">
        <v>3</v>
      </c>
    </row>
    <row r="8" spans="1:4" x14ac:dyDescent="0.25">
      <c r="A8" t="s">
        <v>202</v>
      </c>
      <c r="B8" t="s">
        <v>239</v>
      </c>
      <c r="D8">
        <v>3</v>
      </c>
    </row>
    <row r="9" spans="1:4" x14ac:dyDescent="0.25">
      <c r="A9" t="s">
        <v>202</v>
      </c>
      <c r="B9" t="s">
        <v>240</v>
      </c>
      <c r="D9">
        <v>3</v>
      </c>
    </row>
    <row r="10" spans="1:4" x14ac:dyDescent="0.25">
      <c r="A10" t="s">
        <v>202</v>
      </c>
      <c r="B10" t="s">
        <v>241</v>
      </c>
      <c r="D10">
        <v>3</v>
      </c>
    </row>
    <row r="11" spans="1:4" x14ac:dyDescent="0.25">
      <c r="A11" t="s">
        <v>202</v>
      </c>
      <c r="B11" t="s">
        <v>189</v>
      </c>
      <c r="D11">
        <v>3</v>
      </c>
    </row>
    <row r="12" spans="1:4" x14ac:dyDescent="0.25">
      <c r="A12" t="s">
        <v>202</v>
      </c>
      <c r="B12" t="s">
        <v>190</v>
      </c>
      <c r="D12">
        <v>3</v>
      </c>
    </row>
    <row r="13" spans="1:4" x14ac:dyDescent="0.25">
      <c r="A13" t="s">
        <v>202</v>
      </c>
      <c r="B13" t="s">
        <v>242</v>
      </c>
      <c r="D13">
        <v>3</v>
      </c>
    </row>
    <row r="14" spans="1:4" x14ac:dyDescent="0.25">
      <c r="A14" t="s">
        <v>202</v>
      </c>
      <c r="B14" t="s">
        <v>191</v>
      </c>
      <c r="D14">
        <v>3</v>
      </c>
    </row>
    <row r="15" spans="1:4" x14ac:dyDescent="0.25">
      <c r="A15" t="s">
        <v>202</v>
      </c>
      <c r="B15" t="s">
        <v>243</v>
      </c>
      <c r="D15">
        <v>3</v>
      </c>
    </row>
    <row r="16" spans="1:4" x14ac:dyDescent="0.25">
      <c r="A16" t="s">
        <v>202</v>
      </c>
      <c r="B16" t="s">
        <v>244</v>
      </c>
      <c r="D16">
        <v>3</v>
      </c>
    </row>
    <row r="17" spans="1:4" x14ac:dyDescent="0.25">
      <c r="A17" t="s">
        <v>202</v>
      </c>
      <c r="B17" t="s">
        <v>245</v>
      </c>
      <c r="D17">
        <v>3</v>
      </c>
    </row>
    <row r="18" spans="1:4" x14ac:dyDescent="0.25">
      <c r="A18" t="s">
        <v>202</v>
      </c>
      <c r="B18" t="s">
        <v>246</v>
      </c>
      <c r="D18">
        <v>3</v>
      </c>
    </row>
    <row r="19" spans="1:4" x14ac:dyDescent="0.25">
      <c r="A19" t="s">
        <v>202</v>
      </c>
      <c r="B19" t="s">
        <v>247</v>
      </c>
      <c r="D19">
        <v>3</v>
      </c>
    </row>
    <row r="20" spans="1:4" x14ac:dyDescent="0.25">
      <c r="A20" t="s">
        <v>202</v>
      </c>
      <c r="B20" t="s">
        <v>248</v>
      </c>
      <c r="D20">
        <v>3</v>
      </c>
    </row>
    <row r="21" spans="1:4" x14ac:dyDescent="0.25">
      <c r="A21" t="s">
        <v>202</v>
      </c>
      <c r="B21" t="s">
        <v>249</v>
      </c>
      <c r="C21" t="s">
        <v>272</v>
      </c>
      <c r="D21">
        <v>3</v>
      </c>
    </row>
    <row r="22" spans="1:4" x14ac:dyDescent="0.25">
      <c r="A22" t="s">
        <v>202</v>
      </c>
      <c r="B22" t="s">
        <v>250</v>
      </c>
      <c r="C22" t="s">
        <v>272</v>
      </c>
      <c r="D22">
        <v>3</v>
      </c>
    </row>
    <row r="23" spans="1:4" x14ac:dyDescent="0.25">
      <c r="A23" t="s">
        <v>202</v>
      </c>
      <c r="B23" t="s">
        <v>270</v>
      </c>
      <c r="C23" t="s">
        <v>273</v>
      </c>
      <c r="D23">
        <v>3</v>
      </c>
    </row>
    <row r="24" spans="1:4" x14ac:dyDescent="0.25">
      <c r="A24" t="s">
        <v>202</v>
      </c>
      <c r="B24" t="s">
        <v>251</v>
      </c>
      <c r="D24">
        <v>4</v>
      </c>
    </row>
    <row r="25" spans="1:4" x14ac:dyDescent="0.25">
      <c r="A25" t="s">
        <v>202</v>
      </c>
      <c r="B25" t="s">
        <v>252</v>
      </c>
      <c r="D25">
        <v>4</v>
      </c>
    </row>
    <row r="26" spans="1:4" x14ac:dyDescent="0.25">
      <c r="A26" t="s">
        <v>202</v>
      </c>
      <c r="B26" t="s">
        <v>253</v>
      </c>
      <c r="D26">
        <v>4</v>
      </c>
    </row>
    <row r="27" spans="1:4" x14ac:dyDescent="0.25">
      <c r="A27" t="s">
        <v>202</v>
      </c>
      <c r="B27" t="s">
        <v>254</v>
      </c>
      <c r="D27">
        <v>4</v>
      </c>
    </row>
    <row r="28" spans="1:4" x14ac:dyDescent="0.25">
      <c r="A28" t="s">
        <v>202</v>
      </c>
      <c r="B28" t="s">
        <v>255</v>
      </c>
      <c r="D28">
        <v>4</v>
      </c>
    </row>
    <row r="29" spans="1:4" x14ac:dyDescent="0.25">
      <c r="A29" t="s">
        <v>202</v>
      </c>
      <c r="B29" t="s">
        <v>256</v>
      </c>
      <c r="D29">
        <v>4</v>
      </c>
    </row>
    <row r="30" spans="1:4" x14ac:dyDescent="0.25">
      <c r="A30" t="s">
        <v>202</v>
      </c>
      <c r="B30" t="s">
        <v>257</v>
      </c>
      <c r="D30">
        <v>4</v>
      </c>
    </row>
    <row r="31" spans="1:4" x14ac:dyDescent="0.25">
      <c r="A31" t="s">
        <v>202</v>
      </c>
      <c r="B31" t="s">
        <v>258</v>
      </c>
      <c r="D31">
        <v>5</v>
      </c>
    </row>
    <row r="32" spans="1:4" x14ac:dyDescent="0.25">
      <c r="A32" t="s">
        <v>202</v>
      </c>
      <c r="B32" t="s">
        <v>259</v>
      </c>
      <c r="D32">
        <v>5</v>
      </c>
    </row>
    <row r="33" spans="1:4" x14ac:dyDescent="0.25">
      <c r="A33" t="s">
        <v>202</v>
      </c>
      <c r="B33" t="s">
        <v>260</v>
      </c>
      <c r="D33">
        <v>5</v>
      </c>
    </row>
    <row r="34" spans="1:4" x14ac:dyDescent="0.25">
      <c r="A34" t="s">
        <v>202</v>
      </c>
      <c r="B34" t="s">
        <v>261</v>
      </c>
      <c r="D34">
        <v>5</v>
      </c>
    </row>
    <row r="35" spans="1:4" x14ac:dyDescent="0.25">
      <c r="A35" t="s">
        <v>202</v>
      </c>
      <c r="B35" t="s">
        <v>262</v>
      </c>
      <c r="D35">
        <v>5</v>
      </c>
    </row>
    <row r="36" spans="1:4" x14ac:dyDescent="0.25">
      <c r="A36" t="s">
        <v>202</v>
      </c>
      <c r="B36" t="s">
        <v>263</v>
      </c>
      <c r="D36">
        <v>5</v>
      </c>
    </row>
    <row r="37" spans="1:4" x14ac:dyDescent="0.25">
      <c r="A37" t="s">
        <v>202</v>
      </c>
      <c r="B37" t="s">
        <v>264</v>
      </c>
      <c r="D37">
        <v>5</v>
      </c>
    </row>
    <row r="38" spans="1:4" x14ac:dyDescent="0.25">
      <c r="A38" t="s">
        <v>202</v>
      </c>
      <c r="B38" t="s">
        <v>265</v>
      </c>
      <c r="D38">
        <v>5</v>
      </c>
    </row>
    <row r="39" spans="1:4" x14ac:dyDescent="0.25">
      <c r="A39" t="s">
        <v>202</v>
      </c>
      <c r="B39" t="s">
        <v>266</v>
      </c>
      <c r="D39">
        <v>5</v>
      </c>
    </row>
    <row r="40" spans="1:4" x14ac:dyDescent="0.25">
      <c r="A40" t="s">
        <v>202</v>
      </c>
      <c r="B40" t="s">
        <v>267</v>
      </c>
      <c r="D40">
        <v>5</v>
      </c>
    </row>
    <row r="41" spans="1:4" x14ac:dyDescent="0.25">
      <c r="A41" t="s">
        <v>202</v>
      </c>
      <c r="B41" t="s">
        <v>268</v>
      </c>
      <c r="D41">
        <v>5</v>
      </c>
    </row>
    <row r="42" spans="1:4" x14ac:dyDescent="0.25">
      <c r="A42" t="s">
        <v>202</v>
      </c>
      <c r="B42" t="s">
        <v>269</v>
      </c>
      <c r="D4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17BC-1B4F-422C-891C-9E7E7B559EF4}">
  <dimension ref="A2:XX962"/>
  <sheetViews>
    <sheetView showGridLines="0" topLeftCell="A147" zoomScale="86" zoomScaleNormal="25" workbookViewId="0">
      <selection activeCell="I190" sqref="I190"/>
    </sheetView>
  </sheetViews>
  <sheetFormatPr defaultColWidth="9.140625" defaultRowHeight="15" x14ac:dyDescent="0.25"/>
  <cols>
    <col min="1" max="1" width="9.140625" style="1"/>
    <col min="2" max="2" width="9.140625" style="17"/>
    <col min="3" max="3" width="3.7109375" style="1" customWidth="1"/>
    <col min="4" max="4" width="27.140625" style="1" customWidth="1"/>
    <col min="5" max="5" width="13.7109375" style="1" customWidth="1"/>
    <col min="6" max="6" width="20.42578125" style="1" customWidth="1"/>
    <col min="7" max="7" width="17.28515625" style="1" customWidth="1"/>
    <col min="8" max="8" width="5.7109375" style="1" bestFit="1" customWidth="1"/>
    <col min="9" max="17" width="13.42578125" style="1" customWidth="1"/>
    <col min="18" max="18" width="1.7109375" style="1" customWidth="1"/>
    <col min="19" max="19" width="10.42578125" style="1" customWidth="1"/>
    <col min="20" max="20" width="16.85546875" style="1" bestFit="1" customWidth="1"/>
    <col min="21" max="16384" width="9.140625" style="1"/>
  </cols>
  <sheetData>
    <row r="2" spans="2:32" ht="15.75" thickBot="1" x14ac:dyDescent="0.3"/>
    <row r="3" spans="2:32" x14ac:dyDescent="0.25">
      <c r="U3" s="415" t="s">
        <v>274</v>
      </c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7"/>
    </row>
    <row r="4" spans="2:32" ht="18" thickBot="1" x14ac:dyDescent="0.35">
      <c r="D4" s="346" t="s">
        <v>202</v>
      </c>
      <c r="E4" s="342"/>
      <c r="F4" s="343"/>
      <c r="G4" s="344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U4" s="418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20"/>
    </row>
    <row r="5" spans="2:32" ht="15.75" thickBot="1" x14ac:dyDescent="0.3">
      <c r="D5" s="190" t="s">
        <v>203</v>
      </c>
      <c r="E5" s="2"/>
      <c r="F5" s="2"/>
      <c r="G5" s="3"/>
      <c r="U5" s="421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3"/>
    </row>
    <row r="6" spans="2:32" x14ac:dyDescent="0.25">
      <c r="U6" s="273" t="s">
        <v>275</v>
      </c>
    </row>
    <row r="7" spans="2:32" s="192" customFormat="1" ht="18" thickBot="1" x14ac:dyDescent="0.35">
      <c r="B7" s="191" t="s">
        <v>0</v>
      </c>
      <c r="D7" s="195"/>
      <c r="E7" s="193"/>
      <c r="F7" s="193"/>
      <c r="G7" s="194"/>
    </row>
    <row r="9" spans="2:32" x14ac:dyDescent="0.25">
      <c r="B9" s="188"/>
      <c r="C9" s="4"/>
      <c r="D9" s="301" t="s">
        <v>1</v>
      </c>
      <c r="E9" s="301"/>
      <c r="F9" s="301"/>
      <c r="G9" s="301"/>
      <c r="H9" s="302"/>
      <c r="I9" s="430" t="s">
        <v>2</v>
      </c>
      <c r="J9" s="430"/>
      <c r="K9" s="430"/>
      <c r="L9" s="431"/>
      <c r="M9" s="286" t="s">
        <v>3</v>
      </c>
      <c r="N9" s="286"/>
      <c r="O9" s="286"/>
      <c r="P9" s="286"/>
      <c r="Q9" s="286"/>
      <c r="S9" s="305" t="s">
        <v>4</v>
      </c>
    </row>
    <row r="10" spans="2:32" x14ac:dyDescent="0.25">
      <c r="D10" s="6" t="s">
        <v>5</v>
      </c>
      <c r="E10" s="7"/>
      <c r="F10" s="7"/>
      <c r="G10" s="7"/>
      <c r="H10" s="8" t="s">
        <v>6</v>
      </c>
      <c r="I10" s="303">
        <v>2023</v>
      </c>
      <c r="J10" s="303">
        <v>2024</v>
      </c>
      <c r="K10" s="303">
        <v>2025</v>
      </c>
      <c r="L10" s="304">
        <v>2026</v>
      </c>
      <c r="M10" s="287">
        <v>2027</v>
      </c>
      <c r="N10" s="287">
        <v>2028</v>
      </c>
      <c r="O10" s="287">
        <v>2029</v>
      </c>
      <c r="P10" s="287">
        <v>2030</v>
      </c>
      <c r="Q10" s="287">
        <v>2031</v>
      </c>
      <c r="S10" s="306" t="s">
        <v>281</v>
      </c>
    </row>
    <row r="11" spans="2:32" ht="3.95" customHeight="1" x14ac:dyDescent="0.25">
      <c r="H11" s="9"/>
      <c r="L11" s="158"/>
    </row>
    <row r="12" spans="2:32" x14ac:dyDescent="0.25">
      <c r="D12" s="1" t="s">
        <v>7</v>
      </c>
      <c r="H12" s="8" t="s">
        <v>8</v>
      </c>
      <c r="I12" s="13">
        <v>26974</v>
      </c>
      <c r="J12" s="13">
        <v>60922</v>
      </c>
      <c r="K12" s="13">
        <v>130497</v>
      </c>
      <c r="L12" s="11">
        <v>215938</v>
      </c>
      <c r="M12" s="291">
        <v>345500.80000000005</v>
      </c>
      <c r="N12" s="291">
        <v>518251.20000000007</v>
      </c>
      <c r="O12" s="291">
        <v>725551.68</v>
      </c>
      <c r="P12" s="291">
        <v>943217.18400000012</v>
      </c>
      <c r="Q12" s="291">
        <v>1131860.6208000001</v>
      </c>
      <c r="R12" s="292"/>
      <c r="S12" s="293">
        <v>0.39281288286829441</v>
      </c>
    </row>
    <row r="13" spans="2:32" ht="14.45" customHeight="1" x14ac:dyDescent="0.25">
      <c r="D13" s="12" t="s">
        <v>9</v>
      </c>
      <c r="E13" s="12"/>
      <c r="F13" s="12"/>
      <c r="G13" s="12"/>
      <c r="H13" s="8" t="s">
        <v>8</v>
      </c>
      <c r="I13" s="13">
        <v>11618</v>
      </c>
      <c r="J13" s="13">
        <v>16621</v>
      </c>
      <c r="K13" s="13">
        <v>32639</v>
      </c>
      <c r="L13" s="11">
        <v>62475</v>
      </c>
      <c r="M13" s="294">
        <v>82920.19200000001</v>
      </c>
      <c r="N13" s="294">
        <v>123343.78560000002</v>
      </c>
      <c r="O13" s="294">
        <v>171230.19648000001</v>
      </c>
      <c r="P13" s="294">
        <v>220712.82105600002</v>
      </c>
      <c r="Q13" s="294">
        <v>262591.66402560001</v>
      </c>
      <c r="R13" s="292"/>
      <c r="S13" s="292"/>
    </row>
    <row r="14" spans="2:32" ht="14.45" customHeight="1" x14ac:dyDescent="0.25">
      <c r="D14" s="14" t="s">
        <v>10</v>
      </c>
      <c r="E14" s="14"/>
      <c r="F14" s="14"/>
      <c r="G14" s="14"/>
      <c r="H14" s="15" t="s">
        <v>8</v>
      </c>
      <c r="I14" s="16">
        <v>15356</v>
      </c>
      <c r="J14" s="16">
        <v>44301</v>
      </c>
      <c r="K14" s="16">
        <v>97858</v>
      </c>
      <c r="L14" s="248">
        <v>153463</v>
      </c>
      <c r="M14" s="295">
        <v>262580.60800000001</v>
      </c>
      <c r="N14" s="295">
        <v>394907.41440000007</v>
      </c>
      <c r="O14" s="295">
        <v>554321.48352000001</v>
      </c>
      <c r="P14" s="295">
        <v>722504.36294400017</v>
      </c>
      <c r="Q14" s="295">
        <v>869268.95677440008</v>
      </c>
      <c r="R14" s="7"/>
      <c r="S14" s="7"/>
      <c r="T14" s="17"/>
    </row>
    <row r="15" spans="2:32" ht="6.2" customHeight="1" x14ac:dyDescent="0.25">
      <c r="D15" s="17"/>
      <c r="E15" s="17"/>
      <c r="F15" s="17"/>
      <c r="G15" s="17"/>
      <c r="H15" s="8"/>
      <c r="I15" s="19"/>
      <c r="J15" s="19"/>
      <c r="K15" s="19"/>
      <c r="L15" s="18"/>
      <c r="M15" s="296"/>
      <c r="N15" s="296"/>
      <c r="O15" s="296"/>
      <c r="P15" s="296"/>
      <c r="Q15" s="296"/>
      <c r="R15" s="292"/>
      <c r="S15" s="7"/>
      <c r="T15" s="17"/>
    </row>
    <row r="16" spans="2:32" ht="14.45" customHeight="1" x14ac:dyDescent="0.25">
      <c r="D16" s="12" t="s">
        <v>205</v>
      </c>
      <c r="E16" s="12"/>
      <c r="F16" s="12"/>
      <c r="G16" s="12"/>
      <c r="H16" s="8" t="s">
        <v>8</v>
      </c>
      <c r="I16" s="13">
        <v>7339</v>
      </c>
      <c r="J16" s="13">
        <v>8675</v>
      </c>
      <c r="K16" s="13">
        <v>12914</v>
      </c>
      <c r="L16" s="11">
        <v>18497</v>
      </c>
      <c r="M16" s="291">
        <v>36083.634464751958</v>
      </c>
      <c r="N16" s="291">
        <v>54125.451697127944</v>
      </c>
      <c r="O16" s="291">
        <v>75775.632375979112</v>
      </c>
      <c r="P16" s="291">
        <v>98508.322088772853</v>
      </c>
      <c r="Q16" s="291">
        <v>118209.98650652742</v>
      </c>
      <c r="R16" s="292"/>
      <c r="S16" s="7"/>
      <c r="T16" s="17"/>
    </row>
    <row r="17" spans="2:21" ht="14.45" customHeight="1" x14ac:dyDescent="0.25">
      <c r="D17" s="12" t="s">
        <v>207</v>
      </c>
      <c r="E17" s="12"/>
      <c r="F17" s="12"/>
      <c r="G17" s="12"/>
      <c r="H17" s="8"/>
      <c r="I17" s="13">
        <v>1353</v>
      </c>
      <c r="J17" s="13">
        <v>0</v>
      </c>
      <c r="K17" s="13">
        <v>0</v>
      </c>
      <c r="L17" s="11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292"/>
      <c r="S17" s="7"/>
      <c r="T17" s="17"/>
    </row>
    <row r="18" spans="2:21" ht="14.45" customHeight="1" x14ac:dyDescent="0.25">
      <c r="D18" s="12" t="s">
        <v>11</v>
      </c>
      <c r="E18" s="12"/>
      <c r="F18" s="12"/>
      <c r="G18" s="12"/>
      <c r="H18" s="8" t="s">
        <v>8</v>
      </c>
      <c r="I18" s="13">
        <v>2440</v>
      </c>
      <c r="J18" s="13">
        <v>2654</v>
      </c>
      <c r="K18" s="13">
        <v>3491</v>
      </c>
      <c r="L18" s="11">
        <v>4579</v>
      </c>
      <c r="M18" s="297">
        <v>10307.714698203043</v>
      </c>
      <c r="N18" s="297">
        <v>15461.572047304564</v>
      </c>
      <c r="O18" s="297">
        <v>21646.200866226387</v>
      </c>
      <c r="P18" s="297">
        <v>28140.061126094308</v>
      </c>
      <c r="Q18" s="297">
        <v>33768.073351313171</v>
      </c>
      <c r="R18" s="292"/>
      <c r="S18" s="7"/>
      <c r="T18" s="17"/>
    </row>
    <row r="19" spans="2:21" ht="14.45" customHeight="1" x14ac:dyDescent="0.25">
      <c r="D19" s="20" t="s">
        <v>12</v>
      </c>
      <c r="E19" s="20"/>
      <c r="F19" s="20"/>
      <c r="G19" s="20"/>
      <c r="H19" s="15" t="s">
        <v>8</v>
      </c>
      <c r="I19" s="16">
        <v>4224</v>
      </c>
      <c r="J19" s="16">
        <v>32972</v>
      </c>
      <c r="K19" s="16">
        <v>81453</v>
      </c>
      <c r="L19" s="248">
        <v>130387</v>
      </c>
      <c r="M19" s="298">
        <v>216189.258837045</v>
      </c>
      <c r="N19" s="298">
        <v>325320.39065556758</v>
      </c>
      <c r="O19" s="298">
        <v>456899.65027779451</v>
      </c>
      <c r="P19" s="298">
        <v>595855.97972913296</v>
      </c>
      <c r="Q19" s="298">
        <v>717290.89691655943</v>
      </c>
      <c r="R19" s="292"/>
      <c r="S19" s="7"/>
      <c r="T19" s="17"/>
    </row>
    <row r="20" spans="2:21" ht="6.2" customHeight="1" x14ac:dyDescent="0.25">
      <c r="D20" s="17"/>
      <c r="E20" s="17"/>
      <c r="F20" s="17"/>
      <c r="G20" s="17"/>
      <c r="H20" s="8"/>
      <c r="I20" s="19"/>
      <c r="J20" s="19"/>
      <c r="K20" s="19"/>
      <c r="L20" s="18"/>
      <c r="M20" s="299"/>
      <c r="N20" s="299"/>
      <c r="O20" s="299"/>
      <c r="P20" s="299"/>
      <c r="Q20" s="299"/>
      <c r="R20" s="292"/>
      <c r="S20" s="7"/>
      <c r="T20" s="17"/>
    </row>
    <row r="21" spans="2:21" ht="15" customHeight="1" x14ac:dyDescent="0.25">
      <c r="D21" s="12" t="s">
        <v>206</v>
      </c>
      <c r="E21" s="17"/>
      <c r="F21" s="17"/>
      <c r="G21" s="17"/>
      <c r="H21" s="8" t="s">
        <v>8</v>
      </c>
      <c r="I21" s="13">
        <v>-48</v>
      </c>
      <c r="J21" s="13">
        <v>237</v>
      </c>
      <c r="K21" s="13">
        <v>1034</v>
      </c>
      <c r="L21" s="11">
        <v>9022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292"/>
      <c r="S21" s="7"/>
      <c r="T21" s="17"/>
    </row>
    <row r="22" spans="2:21" ht="15" customHeight="1" x14ac:dyDescent="0.25">
      <c r="D22" s="12" t="s">
        <v>208</v>
      </c>
      <c r="E22" s="17"/>
      <c r="F22" s="17"/>
      <c r="G22" s="17"/>
      <c r="H22" s="8"/>
      <c r="I22" s="13">
        <v>267</v>
      </c>
      <c r="J22" s="13">
        <v>866</v>
      </c>
      <c r="K22" s="13">
        <v>1786</v>
      </c>
      <c r="L22" s="11">
        <v>2300</v>
      </c>
      <c r="M22" s="291">
        <v>1650.5610486145476</v>
      </c>
      <c r="N22" s="291">
        <v>16443.244466491604</v>
      </c>
      <c r="O22" s="291">
        <v>24324.434236012839</v>
      </c>
      <c r="P22" s="291">
        <v>37857.583577840494</v>
      </c>
      <c r="Q22" s="291">
        <v>49136.335354373863</v>
      </c>
      <c r="R22" s="292"/>
      <c r="S22" s="7"/>
      <c r="T22" s="17"/>
    </row>
    <row r="23" spans="2:21" x14ac:dyDescent="0.25">
      <c r="D23" s="12" t="s">
        <v>209</v>
      </c>
      <c r="E23" s="12"/>
      <c r="F23" s="12"/>
      <c r="G23" s="12"/>
      <c r="H23" s="8" t="s">
        <v>8</v>
      </c>
      <c r="I23" s="13">
        <v>-262</v>
      </c>
      <c r="J23" s="13">
        <v>-257</v>
      </c>
      <c r="K23" s="13">
        <v>-247</v>
      </c>
      <c r="L23" s="11">
        <v>-259</v>
      </c>
      <c r="M23" s="294">
        <v>-212.76228529411765</v>
      </c>
      <c r="N23" s="294">
        <v>-175.89096176470588</v>
      </c>
      <c r="O23" s="294">
        <v>-139.01963823529411</v>
      </c>
      <c r="P23" s="294">
        <v>-102.14831470588236</v>
      </c>
      <c r="Q23" s="294">
        <v>-65.276991176470588</v>
      </c>
      <c r="R23" s="292"/>
      <c r="S23" s="7"/>
      <c r="T23" s="17"/>
    </row>
    <row r="24" spans="2:21" x14ac:dyDescent="0.25">
      <c r="D24" s="21" t="s">
        <v>13</v>
      </c>
      <c r="E24" s="21"/>
      <c r="F24" s="21"/>
      <c r="G24" s="21"/>
      <c r="H24" s="15" t="s">
        <v>8</v>
      </c>
      <c r="I24" s="16">
        <v>4181</v>
      </c>
      <c r="J24" s="16">
        <v>33818</v>
      </c>
      <c r="K24" s="16">
        <v>84026</v>
      </c>
      <c r="L24" s="248">
        <v>141450</v>
      </c>
      <c r="M24" s="295">
        <v>217627.05760036543</v>
      </c>
      <c r="N24" s="295">
        <v>341587.74416029447</v>
      </c>
      <c r="O24" s="295">
        <v>481085.0648755721</v>
      </c>
      <c r="P24" s="295">
        <v>633611.4149922675</v>
      </c>
      <c r="Q24" s="295">
        <v>766361.95527975692</v>
      </c>
      <c r="R24" s="292"/>
      <c r="S24" s="7"/>
      <c r="T24" s="17"/>
    </row>
    <row r="25" spans="2:21" x14ac:dyDescent="0.25">
      <c r="D25" s="12" t="s">
        <v>204</v>
      </c>
      <c r="E25" s="12"/>
      <c r="F25" s="12"/>
      <c r="G25" s="12"/>
      <c r="H25" s="8" t="s">
        <v>8</v>
      </c>
      <c r="I25" s="13">
        <v>187</v>
      </c>
      <c r="J25" s="13">
        <v>-4058</v>
      </c>
      <c r="K25" s="13">
        <v>-11146</v>
      </c>
      <c r="L25" s="11">
        <v>-21383</v>
      </c>
      <c r="M25" s="297">
        <v>-30202.539737581821</v>
      </c>
      <c r="N25" s="297">
        <v>-50821.827467436975</v>
      </c>
      <c r="O25" s="297">
        <v>-76387.254024614987</v>
      </c>
      <c r="P25" s="297">
        <v>-106941.68194577229</v>
      </c>
      <c r="Q25" s="297">
        <v>-137011.09426309477</v>
      </c>
      <c r="R25" s="292"/>
      <c r="S25" s="7"/>
      <c r="T25" s="17"/>
    </row>
    <row r="26" spans="2:21" ht="15.75" thickBot="1" x14ac:dyDescent="0.3">
      <c r="D26" s="22" t="s">
        <v>14</v>
      </c>
      <c r="E26" s="22"/>
      <c r="F26" s="22"/>
      <c r="G26" s="22"/>
      <c r="H26" s="23" t="s">
        <v>8</v>
      </c>
      <c r="I26" s="24">
        <v>4368</v>
      </c>
      <c r="J26" s="24">
        <v>29760</v>
      </c>
      <c r="K26" s="24">
        <v>72880</v>
      </c>
      <c r="L26" s="249">
        <v>120067</v>
      </c>
      <c r="M26" s="300">
        <v>187424.5178627836</v>
      </c>
      <c r="N26" s="300">
        <v>290765.91669285751</v>
      </c>
      <c r="O26" s="300">
        <v>404697.81085095712</v>
      </c>
      <c r="P26" s="300">
        <v>526669.73304649524</v>
      </c>
      <c r="Q26" s="300">
        <v>629350.86101666209</v>
      </c>
      <c r="R26" s="292"/>
      <c r="S26" s="7"/>
      <c r="T26" s="17"/>
    </row>
    <row r="27" spans="2:21" ht="15.75" customHeight="1" thickTop="1" x14ac:dyDescent="0.25">
      <c r="I27" s="234"/>
      <c r="J27" s="234"/>
      <c r="K27" s="288"/>
      <c r="L27" s="25"/>
      <c r="M27" s="292"/>
      <c r="N27" s="292"/>
      <c r="O27" s="292"/>
      <c r="P27" s="292"/>
      <c r="Q27" s="292"/>
      <c r="R27" s="292"/>
      <c r="S27" s="7"/>
      <c r="T27" s="17"/>
    </row>
    <row r="28" spans="2:21" x14ac:dyDescent="0.25">
      <c r="D28" s="1" t="s">
        <v>15</v>
      </c>
      <c r="H28" s="8" t="s">
        <v>8</v>
      </c>
      <c r="I28" s="26">
        <v>4224</v>
      </c>
      <c r="J28" s="26">
        <v>32972</v>
      </c>
      <c r="K28" s="26">
        <v>81453</v>
      </c>
      <c r="L28" s="250">
        <v>130387</v>
      </c>
      <c r="M28" s="291">
        <v>216189.258837045</v>
      </c>
      <c r="N28" s="291">
        <v>325320.39065556758</v>
      </c>
      <c r="O28" s="291">
        <v>456899.65027779451</v>
      </c>
      <c r="P28" s="291">
        <v>595855.97972913296</v>
      </c>
      <c r="Q28" s="291">
        <v>717290.89691655943</v>
      </c>
      <c r="R28" s="292"/>
      <c r="S28" s="7"/>
      <c r="T28" s="17"/>
    </row>
    <row r="29" spans="2:21" x14ac:dyDescent="0.25">
      <c r="D29" s="12" t="s">
        <v>16</v>
      </c>
      <c r="H29" s="8" t="s">
        <v>8</v>
      </c>
      <c r="I29" s="27">
        <v>1544</v>
      </c>
      <c r="J29" s="27">
        <v>1508</v>
      </c>
      <c r="K29" s="27">
        <v>1864</v>
      </c>
      <c r="L29" s="251">
        <v>2843</v>
      </c>
      <c r="M29" s="294">
        <v>4548.8000000000011</v>
      </c>
      <c r="N29" s="294">
        <v>6823.2000000000007</v>
      </c>
      <c r="O29" s="294">
        <v>9552.4800000000014</v>
      </c>
      <c r="P29" s="294">
        <v>12418.224000000002</v>
      </c>
      <c r="Q29" s="294">
        <v>14901.868800000002</v>
      </c>
      <c r="R29" s="292"/>
      <c r="S29" s="7"/>
      <c r="T29" s="17"/>
    </row>
    <row r="30" spans="2:21" x14ac:dyDescent="0.25">
      <c r="D30" s="28" t="s">
        <v>17</v>
      </c>
      <c r="E30" s="28"/>
      <c r="F30" s="28"/>
      <c r="G30" s="28"/>
      <c r="H30" s="29" t="s">
        <v>8</v>
      </c>
      <c r="I30" s="165">
        <v>5768</v>
      </c>
      <c r="J30" s="165">
        <v>34480</v>
      </c>
      <c r="K30" s="165">
        <v>83317</v>
      </c>
      <c r="L30" s="252">
        <v>133230</v>
      </c>
      <c r="M30" s="298">
        <v>220738.05883704498</v>
      </c>
      <c r="N30" s="298">
        <v>332143.59065556759</v>
      </c>
      <c r="O30" s="298">
        <v>466452.13027779449</v>
      </c>
      <c r="P30" s="298">
        <v>608274.20372913301</v>
      </c>
      <c r="Q30" s="298">
        <v>732192.76571655949</v>
      </c>
      <c r="R30" s="7"/>
      <c r="S30" s="7"/>
      <c r="T30" s="17"/>
    </row>
    <row r="31" spans="2:21" customFormat="1" x14ac:dyDescent="0.25">
      <c r="B31" s="189" t="s">
        <v>18</v>
      </c>
      <c r="C31" s="30"/>
      <c r="D31" s="1"/>
      <c r="E31" s="1"/>
      <c r="F31" s="1"/>
      <c r="G31" s="1"/>
      <c r="L31" s="158"/>
      <c r="T31" s="1"/>
      <c r="U31" s="1"/>
    </row>
    <row r="32" spans="2:21" customFormat="1" x14ac:dyDescent="0.25">
      <c r="B32" s="17"/>
      <c r="C32" s="1"/>
      <c r="D32" s="32" t="s">
        <v>19</v>
      </c>
      <c r="E32" s="32"/>
      <c r="F32" s="32"/>
      <c r="G32" s="32"/>
      <c r="H32" s="8" t="s">
        <v>6</v>
      </c>
      <c r="L32" s="158"/>
      <c r="T32" s="1"/>
      <c r="U32" s="1"/>
    </row>
    <row r="33" spans="2:21" ht="3.95" customHeight="1" x14ac:dyDescent="0.25">
      <c r="H33" s="9"/>
      <c r="J33" s="1">
        <v>0</v>
      </c>
      <c r="K33" s="200">
        <v>0</v>
      </c>
      <c r="L33" s="158"/>
      <c r="S33" s="5" t="s">
        <v>20</v>
      </c>
    </row>
    <row r="34" spans="2:21" x14ac:dyDescent="0.25">
      <c r="D34" s="34" t="s">
        <v>21</v>
      </c>
      <c r="E34" s="34"/>
      <c r="F34" s="34"/>
      <c r="G34" s="34"/>
      <c r="H34" s="35" t="s">
        <v>22</v>
      </c>
      <c r="I34" s="197"/>
      <c r="J34" s="197">
        <v>1.2585452658115224</v>
      </c>
      <c r="K34" s="197">
        <v>1.1420340763599355</v>
      </c>
      <c r="L34" s="37">
        <v>0.65473535790094783</v>
      </c>
      <c r="M34" s="44">
        <v>0.6</v>
      </c>
      <c r="N34" s="38">
        <v>0.5</v>
      </c>
      <c r="O34" s="38">
        <v>0.4</v>
      </c>
      <c r="P34" s="38">
        <v>0.30000000000000004</v>
      </c>
      <c r="Q34" s="38">
        <v>0.20000000000000004</v>
      </c>
      <c r="R34" s="39"/>
      <c r="S34" s="40">
        <v>-0.1</v>
      </c>
    </row>
    <row r="35" spans="2:21" x14ac:dyDescent="0.25">
      <c r="D35" s="34" t="s">
        <v>23</v>
      </c>
      <c r="E35" s="34"/>
      <c r="F35" s="34"/>
      <c r="G35" s="34"/>
      <c r="H35" s="35" t="s">
        <v>22</v>
      </c>
      <c r="I35" s="197">
        <v>0.43071105509008673</v>
      </c>
      <c r="J35" s="197">
        <v>0.27282426709563046</v>
      </c>
      <c r="K35" s="197">
        <v>0.25011302941830083</v>
      </c>
      <c r="L35" s="37">
        <v>0.28931915642452927</v>
      </c>
      <c r="M35" s="44">
        <v>0.24</v>
      </c>
      <c r="N35" s="38">
        <v>0.23799999999999999</v>
      </c>
      <c r="O35" s="38">
        <v>0.23599999999999999</v>
      </c>
      <c r="P35" s="38">
        <v>0.23399999999999999</v>
      </c>
      <c r="Q35" s="38">
        <v>0.23199999999999998</v>
      </c>
      <c r="R35" s="39"/>
      <c r="S35" s="40">
        <v>-2E-3</v>
      </c>
    </row>
    <row r="36" spans="2:21" x14ac:dyDescent="0.25">
      <c r="D36" s="34" t="s">
        <v>24</v>
      </c>
      <c r="E36" s="34"/>
      <c r="F36" s="34"/>
      <c r="G36" s="34"/>
      <c r="H36" s="35" t="s">
        <v>22</v>
      </c>
      <c r="I36" s="197">
        <v>0.27207681471046191</v>
      </c>
      <c r="J36" s="197">
        <v>0.14239519385443683</v>
      </c>
      <c r="K36" s="197">
        <v>9.8960129351632606E-2</v>
      </c>
      <c r="L36" s="37">
        <v>8.5658846520760584E-2</v>
      </c>
      <c r="M36" s="44">
        <v>0.10443864229765012</v>
      </c>
      <c r="N36" s="41">
        <v>0.10443864229765012</v>
      </c>
      <c r="O36" s="41">
        <v>0.10443864229765012</v>
      </c>
      <c r="P36" s="41">
        <v>0.10443864229765012</v>
      </c>
      <c r="Q36" s="41">
        <v>0.10443864229765012</v>
      </c>
      <c r="R36" s="39"/>
      <c r="S36" s="40">
        <v>0</v>
      </c>
    </row>
    <row r="37" spans="2:21" x14ac:dyDescent="0.25">
      <c r="D37" s="34" t="s">
        <v>25</v>
      </c>
      <c r="E37" s="34"/>
      <c r="F37" s="34"/>
      <c r="G37" s="34"/>
      <c r="H37" s="35" t="s">
        <v>22</v>
      </c>
      <c r="I37" s="197">
        <v>9.0457477570994288E-2</v>
      </c>
      <c r="J37" s="197">
        <v>4.3563901382095135E-2</v>
      </c>
      <c r="K37" s="197">
        <v>2.6751572833091947E-2</v>
      </c>
      <c r="L37" s="37">
        <v>2.1205160740582946E-2</v>
      </c>
      <c r="M37" s="44">
        <v>2.9834126862233145E-2</v>
      </c>
      <c r="N37" s="43">
        <v>2.9834126862233145E-2</v>
      </c>
      <c r="O37" s="43">
        <v>2.9834126862233145E-2</v>
      </c>
      <c r="P37" s="43">
        <v>2.9834126862233145E-2</v>
      </c>
      <c r="Q37" s="43">
        <v>2.9834126862233145E-2</v>
      </c>
      <c r="R37" s="39"/>
      <c r="S37" s="40">
        <v>0</v>
      </c>
    </row>
    <row r="38" spans="2:21" x14ac:dyDescent="0.25">
      <c r="D38" s="34" t="s">
        <v>26</v>
      </c>
      <c r="E38" s="34"/>
      <c r="F38" s="34"/>
      <c r="G38" s="34"/>
      <c r="H38" s="35" t="s">
        <v>22</v>
      </c>
      <c r="I38" s="197">
        <v>5.7240305479350488E-2</v>
      </c>
      <c r="J38" s="197">
        <v>2.4752962804898065E-2</v>
      </c>
      <c r="K38" s="197">
        <v>1.4283853268657517E-2</v>
      </c>
      <c r="L38" s="37">
        <v>1.3165816113884541E-2</v>
      </c>
      <c r="M38" s="44">
        <v>1.3165816113884541E-2</v>
      </c>
      <c r="N38" s="43">
        <v>1.3165816113884541E-2</v>
      </c>
      <c r="O38" s="43">
        <v>1.3165816113884541E-2</v>
      </c>
      <c r="P38" s="43">
        <v>1.3165816113884541E-2</v>
      </c>
      <c r="Q38" s="43">
        <v>1.3165816113884541E-2</v>
      </c>
      <c r="R38" s="39"/>
      <c r="S38" s="40">
        <v>0</v>
      </c>
    </row>
    <row r="39" spans="2:21" x14ac:dyDescent="0.25">
      <c r="D39" s="34" t="s">
        <v>27</v>
      </c>
      <c r="E39" s="34"/>
      <c r="F39" s="34"/>
      <c r="G39" s="34"/>
      <c r="H39" s="35"/>
      <c r="I39" s="289">
        <v>-1.4443405051449953</v>
      </c>
      <c r="J39" s="289">
        <v>-0.46600741656365885</v>
      </c>
      <c r="K39" s="289">
        <v>-0.30850711684872556</v>
      </c>
      <c r="L39" s="46">
        <v>-0.35102709395010856</v>
      </c>
      <c r="M39" s="44">
        <v>-0.56164335032017376</v>
      </c>
      <c r="N39" s="44">
        <v>-0.56164335032017376</v>
      </c>
      <c r="O39" s="44">
        <v>-0.56164335032017376</v>
      </c>
      <c r="P39" s="44">
        <v>-0.56164335032017376</v>
      </c>
      <c r="Q39" s="44">
        <v>-0.56164335032017376</v>
      </c>
      <c r="R39" s="39"/>
      <c r="S39" s="45"/>
    </row>
    <row r="40" spans="2:21" x14ac:dyDescent="0.25">
      <c r="D40" s="34" t="s">
        <v>216</v>
      </c>
      <c r="E40" s="34"/>
      <c r="F40" s="34"/>
      <c r="G40" s="34"/>
      <c r="H40" s="35"/>
      <c r="I40" s="289">
        <v>7.8784302154027736E-2</v>
      </c>
      <c r="J40" s="289">
        <v>0.11895604395604395</v>
      </c>
      <c r="K40" s="289">
        <v>0.20794038886948421</v>
      </c>
      <c r="L40" s="46">
        <v>0.21687883074021688</v>
      </c>
      <c r="M40" s="44">
        <v>0.15563989142994319</v>
      </c>
      <c r="N40" s="43">
        <v>0.15563989142994319</v>
      </c>
      <c r="O40" s="43">
        <v>0.15563989142994319</v>
      </c>
      <c r="P40" s="43">
        <v>0.15563989142994319</v>
      </c>
      <c r="Q40" s="43">
        <v>0.15563989142994319</v>
      </c>
      <c r="R40" s="39"/>
      <c r="S40" s="45"/>
    </row>
    <row r="41" spans="2:21" x14ac:dyDescent="0.25">
      <c r="D41" s="34" t="s">
        <v>28</v>
      </c>
      <c r="E41" s="34"/>
      <c r="F41" s="34"/>
      <c r="G41" s="34"/>
      <c r="H41" s="35" t="s">
        <v>22</v>
      </c>
      <c r="I41" s="290">
        <v>3.0972928242108996E-2</v>
      </c>
      <c r="J41" s="290">
        <v>3.0367481980385205E-2</v>
      </c>
      <c r="K41" s="290">
        <v>3.3070022760744409E-2</v>
      </c>
      <c r="L41" s="253">
        <v>3.5907389435741024E-2</v>
      </c>
      <c r="M41" s="44">
        <v>2.9497058823529411E-2</v>
      </c>
      <c r="N41" s="43">
        <v>2.9497058823529411E-2</v>
      </c>
      <c r="O41" s="43">
        <v>2.9497058823529411E-2</v>
      </c>
      <c r="P41" s="43">
        <v>2.9497058823529411E-2</v>
      </c>
      <c r="Q41" s="43">
        <v>2.9497058823529411E-2</v>
      </c>
      <c r="R41" s="39"/>
      <c r="S41" s="39"/>
    </row>
    <row r="42" spans="2:21" x14ac:dyDescent="0.25">
      <c r="D42" s="34" t="s">
        <v>29</v>
      </c>
      <c r="E42" s="34"/>
      <c r="F42" s="34"/>
      <c r="G42" s="34"/>
      <c r="H42" s="35" t="s">
        <v>22</v>
      </c>
      <c r="I42" s="197">
        <v>-4.4726142071274816E-2</v>
      </c>
      <c r="J42" s="197">
        <v>0.1199952687917677</v>
      </c>
      <c r="K42" s="197">
        <v>0.13264941803727417</v>
      </c>
      <c r="L42" s="37">
        <v>0.15117002474372571</v>
      </c>
      <c r="M42" s="44">
        <v>0.13878117946640431</v>
      </c>
      <c r="N42" s="43">
        <v>0.14878117946640432</v>
      </c>
      <c r="O42" s="43">
        <v>0.15878117946640433</v>
      </c>
      <c r="P42" s="43">
        <v>0.16878117946640434</v>
      </c>
      <c r="Q42" s="43">
        <v>0.17878117946640434</v>
      </c>
      <c r="R42" s="39"/>
      <c r="S42" s="40">
        <v>0.01</v>
      </c>
    </row>
    <row r="43" spans="2:21" x14ac:dyDescent="0.25">
      <c r="D43" s="34"/>
      <c r="E43" s="34"/>
      <c r="F43" s="34"/>
      <c r="G43" s="34"/>
      <c r="H43" s="35"/>
      <c r="I43" s="36"/>
      <c r="J43" s="36"/>
      <c r="K43" s="36"/>
      <c r="L43" s="197"/>
      <c r="M43" s="42"/>
      <c r="N43" s="43"/>
      <c r="O43" s="43"/>
      <c r="P43" s="43"/>
      <c r="Q43" s="43"/>
      <c r="R43" s="39"/>
      <c r="S43" s="39"/>
      <c r="U43" s="207"/>
    </row>
    <row r="44" spans="2:21" x14ac:dyDescent="0.25">
      <c r="D44" s="34"/>
      <c r="E44" s="34"/>
      <c r="F44" s="34"/>
      <c r="G44" s="34"/>
      <c r="H44" s="35"/>
      <c r="I44" s="36"/>
      <c r="J44" s="36"/>
      <c r="K44" s="36"/>
      <c r="L44" s="197"/>
      <c r="M44" s="42"/>
      <c r="N44" s="43"/>
      <c r="O44" s="43"/>
      <c r="P44" s="43"/>
      <c r="Q44" s="43"/>
      <c r="R44" s="39"/>
      <c r="S44" s="39"/>
    </row>
    <row r="45" spans="2:21" x14ac:dyDescent="0.25">
      <c r="D45" s="34"/>
      <c r="E45" s="34"/>
      <c r="F45" s="34"/>
      <c r="G45" s="34"/>
      <c r="H45" s="35"/>
      <c r="I45" s="36"/>
      <c r="J45" s="36"/>
      <c r="K45" s="36"/>
      <c r="L45" s="197"/>
      <c r="M45" s="42"/>
      <c r="N45" s="43"/>
      <c r="O45" s="43"/>
      <c r="P45" s="43"/>
      <c r="Q45" s="43"/>
      <c r="R45" s="39"/>
      <c r="S45" s="39"/>
    </row>
    <row r="47" spans="2:21" s="192" customFormat="1" ht="18" thickBot="1" x14ac:dyDescent="0.35">
      <c r="B47" s="191" t="s">
        <v>30</v>
      </c>
      <c r="D47" s="195" t="s">
        <v>31</v>
      </c>
      <c r="E47" s="193"/>
      <c r="F47" s="193"/>
      <c r="G47" s="194"/>
    </row>
    <row r="49" spans="2:17" x14ac:dyDescent="0.25">
      <c r="B49" s="188"/>
      <c r="C49" s="4"/>
      <c r="D49" s="301" t="s">
        <v>31</v>
      </c>
      <c r="E49" s="301"/>
      <c r="F49" s="301"/>
      <c r="G49" s="301"/>
      <c r="H49" s="302"/>
      <c r="I49" s="430" t="s">
        <v>2</v>
      </c>
      <c r="J49" s="430"/>
      <c r="K49" s="430"/>
      <c r="L49" s="431"/>
      <c r="M49" s="286" t="s">
        <v>3</v>
      </c>
      <c r="N49" s="286"/>
      <c r="O49" s="286"/>
      <c r="P49" s="286"/>
      <c r="Q49" s="286"/>
    </row>
    <row r="50" spans="2:17" x14ac:dyDescent="0.25">
      <c r="D50" s="6" t="s">
        <v>5</v>
      </c>
      <c r="E50" s="7"/>
      <c r="F50" s="7"/>
      <c r="G50" s="7"/>
      <c r="H50" s="8" t="s">
        <v>6</v>
      </c>
      <c r="I50" s="303">
        <f>J50-1</f>
        <v>2022</v>
      </c>
      <c r="J50" s="303">
        <f>K50-1</f>
        <v>2023</v>
      </c>
      <c r="K50" s="303">
        <v>2024</v>
      </c>
      <c r="L50" s="304">
        <v>2025</v>
      </c>
      <c r="M50" s="287">
        <f>$M$10</f>
        <v>2027</v>
      </c>
      <c r="N50" s="287">
        <f>$N$10</f>
        <v>2028</v>
      </c>
      <c r="O50" s="287">
        <f>$O$10</f>
        <v>2029</v>
      </c>
      <c r="P50" s="287">
        <f>$P$10</f>
        <v>2030</v>
      </c>
      <c r="Q50" s="287">
        <f>$Q$10</f>
        <v>2031</v>
      </c>
    </row>
    <row r="51" spans="2:17" ht="3.95" customHeight="1" x14ac:dyDescent="0.25">
      <c r="B51" s="188"/>
      <c r="C51" s="4"/>
      <c r="D51" s="7"/>
      <c r="E51" s="7"/>
      <c r="F51" s="7"/>
      <c r="G51" s="7"/>
      <c r="H51" s="47"/>
      <c r="I51" s="48"/>
      <c r="J51" s="48"/>
      <c r="K51" s="48"/>
      <c r="L51" s="335"/>
      <c r="M51" s="49"/>
      <c r="N51" s="49"/>
      <c r="O51" s="49"/>
      <c r="P51" s="49"/>
      <c r="Q51" s="49"/>
    </row>
    <row r="52" spans="2:17" x14ac:dyDescent="0.25">
      <c r="D52" s="50" t="s">
        <v>32</v>
      </c>
      <c r="E52" s="50"/>
      <c r="F52" s="50"/>
      <c r="G52" s="50"/>
      <c r="H52" s="8" t="s">
        <v>8</v>
      </c>
      <c r="I52" s="13">
        <v>3389</v>
      </c>
      <c r="J52" s="13">
        <v>7280</v>
      </c>
      <c r="K52" s="13">
        <v>8589</v>
      </c>
      <c r="L52" s="11">
        <v>10605</v>
      </c>
      <c r="M52" s="333">
        <v>105649.2928350124</v>
      </c>
      <c r="N52" s="333">
        <v>156286.63071229256</v>
      </c>
      <c r="O52" s="333">
        <v>243238.30625955551</v>
      </c>
      <c r="P52" s="333">
        <v>315705.27904467966</v>
      </c>
      <c r="Q52" s="333">
        <v>386401.27006633027</v>
      </c>
    </row>
    <row r="53" spans="2:17" x14ac:dyDescent="0.25">
      <c r="D53" s="50" t="s">
        <v>198</v>
      </c>
      <c r="E53" s="50"/>
      <c r="F53" s="50"/>
      <c r="G53" s="50"/>
      <c r="H53" s="8" t="s">
        <v>8</v>
      </c>
      <c r="I53" s="13">
        <v>9907</v>
      </c>
      <c r="J53" s="13">
        <v>18704</v>
      </c>
      <c r="K53" s="13">
        <v>34621</v>
      </c>
      <c r="L53" s="11">
        <v>51951</v>
      </c>
      <c r="M53" s="51">
        <v>34621</v>
      </c>
      <c r="N53" s="51">
        <v>34621</v>
      </c>
      <c r="O53" s="51">
        <v>34621</v>
      </c>
      <c r="P53" s="51">
        <v>34621</v>
      </c>
      <c r="Q53" s="51">
        <v>34621</v>
      </c>
    </row>
    <row r="54" spans="2:17" x14ac:dyDescent="0.25">
      <c r="D54" s="50" t="s">
        <v>33</v>
      </c>
      <c r="E54" s="50"/>
      <c r="F54" s="50"/>
      <c r="G54" s="50"/>
      <c r="H54" s="8" t="s">
        <v>8</v>
      </c>
      <c r="I54" s="13">
        <v>3827</v>
      </c>
      <c r="J54" s="13">
        <v>9999</v>
      </c>
      <c r="K54" s="13">
        <v>23065</v>
      </c>
      <c r="L54" s="11">
        <v>38466</v>
      </c>
      <c r="M54" s="333">
        <v>36904</v>
      </c>
      <c r="N54" s="333">
        <v>55356.000000000007</v>
      </c>
      <c r="O54" s="333">
        <v>77498.399999999994</v>
      </c>
      <c r="P54" s="333">
        <v>100747.92000000001</v>
      </c>
      <c r="Q54" s="333">
        <v>120897.50400000002</v>
      </c>
    </row>
    <row r="55" spans="2:17" x14ac:dyDescent="0.25">
      <c r="D55" s="50" t="s">
        <v>34</v>
      </c>
      <c r="E55" s="50"/>
      <c r="F55" s="50"/>
      <c r="G55" s="50"/>
      <c r="H55" s="8" t="s">
        <v>8</v>
      </c>
      <c r="I55" s="13">
        <v>5159</v>
      </c>
      <c r="J55" s="13">
        <v>5282</v>
      </c>
      <c r="K55" s="13">
        <v>10080</v>
      </c>
      <c r="L55" s="11">
        <v>21403</v>
      </c>
      <c r="M55" s="51">
        <v>13378.720053781515</v>
      </c>
      <c r="N55" s="51">
        <v>19900.846080000003</v>
      </c>
      <c r="O55" s="51">
        <v>27627.056911058826</v>
      </c>
      <c r="P55" s="51">
        <v>35610.808103152944</v>
      </c>
      <c r="Q55" s="51">
        <v>42367.730666315299</v>
      </c>
    </row>
    <row r="56" spans="2:17" x14ac:dyDescent="0.25">
      <c r="D56" s="50" t="s">
        <v>35</v>
      </c>
      <c r="E56" s="50"/>
      <c r="F56" s="50"/>
      <c r="G56" s="50"/>
      <c r="H56" s="8" t="s">
        <v>8</v>
      </c>
      <c r="I56" s="13">
        <v>791</v>
      </c>
      <c r="J56" s="13">
        <v>3080</v>
      </c>
      <c r="K56" s="13">
        <v>3771</v>
      </c>
      <c r="L56" s="11">
        <v>3180</v>
      </c>
      <c r="M56" s="333">
        <v>6033.6</v>
      </c>
      <c r="N56" s="333">
        <v>9050.4</v>
      </c>
      <c r="O56" s="333">
        <v>12670.56</v>
      </c>
      <c r="P56" s="333">
        <v>16471.727999999999</v>
      </c>
      <c r="Q56" s="333">
        <v>19766.0736</v>
      </c>
    </row>
    <row r="57" spans="2:17" x14ac:dyDescent="0.25">
      <c r="D57" s="52" t="s">
        <v>36</v>
      </c>
      <c r="E57" s="52"/>
      <c r="F57" s="52"/>
      <c r="G57" s="52"/>
      <c r="H57" s="15" t="s">
        <v>8</v>
      </c>
      <c r="I57" s="53">
        <v>23073</v>
      </c>
      <c r="J57" s="53">
        <v>44345</v>
      </c>
      <c r="K57" s="53">
        <v>80126</v>
      </c>
      <c r="L57" s="255">
        <v>125605</v>
      </c>
      <c r="M57" s="85">
        <v>196586.61288879393</v>
      </c>
      <c r="N57" s="85">
        <v>275214.87679229258</v>
      </c>
      <c r="O57" s="85">
        <v>395655.32317061437</v>
      </c>
      <c r="P57" s="85">
        <v>503156.7351478326</v>
      </c>
      <c r="Q57" s="85">
        <v>604053.57833264559</v>
      </c>
    </row>
    <row r="58" spans="2:17" ht="6.2" customHeight="1" x14ac:dyDescent="0.25">
      <c r="D58" s="54"/>
      <c r="E58" s="54"/>
      <c r="F58" s="54"/>
      <c r="G58" s="54"/>
      <c r="H58" s="8"/>
      <c r="I58" s="55"/>
      <c r="J58" s="55"/>
      <c r="K58" s="55"/>
      <c r="L58" s="56"/>
      <c r="M58" s="55"/>
      <c r="N58" s="55"/>
      <c r="O58" s="55"/>
      <c r="P58" s="55"/>
      <c r="Q58" s="55"/>
    </row>
    <row r="59" spans="2:17" ht="14.45" customHeight="1" x14ac:dyDescent="0.25">
      <c r="D59" s="50" t="s">
        <v>37</v>
      </c>
      <c r="E59" s="50"/>
      <c r="F59" s="50"/>
      <c r="G59" s="50"/>
      <c r="H59" s="8" t="s">
        <v>8</v>
      </c>
      <c r="I59" s="13">
        <v>3807</v>
      </c>
      <c r="J59" s="13">
        <v>3914</v>
      </c>
      <c r="K59" s="13">
        <v>6283</v>
      </c>
      <c r="L59" s="11">
        <v>10383</v>
      </c>
      <c r="M59" s="333">
        <v>9833.2899249619604</v>
      </c>
      <c r="N59" s="333">
        <v>15158.724812404904</v>
      </c>
      <c r="O59" s="333">
        <v>22614.333654825023</v>
      </c>
      <c r="P59" s="333">
        <v>32306.62514997118</v>
      </c>
      <c r="Q59" s="333">
        <v>43937.374944146562</v>
      </c>
    </row>
    <row r="60" spans="2:17" ht="14.45" customHeight="1" x14ac:dyDescent="0.25">
      <c r="D60" s="50" t="s">
        <v>38</v>
      </c>
      <c r="E60" s="50"/>
      <c r="F60" s="50"/>
      <c r="G60" s="50"/>
      <c r="H60" s="8" t="s">
        <v>8</v>
      </c>
      <c r="I60" s="13">
        <v>9930</v>
      </c>
      <c r="J60" s="13">
        <v>13039</v>
      </c>
      <c r="K60" s="13">
        <v>20004</v>
      </c>
      <c r="L60" s="11">
        <v>49983</v>
      </c>
      <c r="M60" s="51">
        <v>20004</v>
      </c>
      <c r="N60" s="51">
        <v>20004</v>
      </c>
      <c r="O60" s="51">
        <v>20004</v>
      </c>
      <c r="P60" s="51">
        <v>20004</v>
      </c>
      <c r="Q60" s="51">
        <v>20004</v>
      </c>
    </row>
    <row r="61" spans="2:17" ht="14.45" customHeight="1" x14ac:dyDescent="0.25">
      <c r="D61" s="50" t="s">
        <v>39</v>
      </c>
      <c r="E61" s="50"/>
      <c r="F61" s="50"/>
      <c r="G61" s="50"/>
      <c r="H61" s="8" t="s">
        <v>8</v>
      </c>
      <c r="I61" s="13">
        <v>4372</v>
      </c>
      <c r="J61" s="13">
        <v>4430</v>
      </c>
      <c r="K61" s="13">
        <v>5188</v>
      </c>
      <c r="L61" s="11">
        <v>20832</v>
      </c>
      <c r="M61" s="254">
        <v>5188</v>
      </c>
      <c r="N61" s="51">
        <v>5188</v>
      </c>
      <c r="O61" s="51">
        <v>5188</v>
      </c>
      <c r="P61" s="51">
        <v>5188</v>
      </c>
      <c r="Q61" s="51">
        <v>5188</v>
      </c>
    </row>
    <row r="62" spans="2:17" ht="15" customHeight="1" thickBot="1" x14ac:dyDescent="0.3">
      <c r="D62" s="57" t="s">
        <v>40</v>
      </c>
      <c r="E62" s="57"/>
      <c r="F62" s="57"/>
      <c r="G62" s="57"/>
      <c r="H62" s="58" t="s">
        <v>8</v>
      </c>
      <c r="I62" s="59">
        <v>41182</v>
      </c>
      <c r="J62" s="59">
        <v>65728</v>
      </c>
      <c r="K62" s="59">
        <v>111601</v>
      </c>
      <c r="L62" s="256">
        <v>206803</v>
      </c>
      <c r="M62" s="89">
        <v>231611.90281375588</v>
      </c>
      <c r="N62" s="89">
        <v>315565.60160469747</v>
      </c>
      <c r="O62" s="89">
        <v>443461.65682543942</v>
      </c>
      <c r="P62" s="89">
        <v>560655.36029780377</v>
      </c>
      <c r="Q62" s="89">
        <v>673182.95327679219</v>
      </c>
    </row>
    <row r="63" spans="2:17" ht="15" customHeight="1" thickTop="1" x14ac:dyDescent="0.25">
      <c r="D63" s="60"/>
      <c r="E63" s="60"/>
      <c r="F63" s="60"/>
      <c r="G63" s="60"/>
      <c r="H63" s="8"/>
      <c r="I63" s="55"/>
      <c r="J63" s="55"/>
      <c r="K63" s="55"/>
      <c r="L63" s="56"/>
      <c r="M63" s="55"/>
      <c r="N63" s="55"/>
      <c r="O63" s="55"/>
      <c r="P63" s="55"/>
      <c r="Q63" s="55"/>
    </row>
    <row r="64" spans="2:17" ht="14.45" customHeight="1" x14ac:dyDescent="0.25">
      <c r="D64" s="61" t="s">
        <v>41</v>
      </c>
      <c r="E64" s="61"/>
      <c r="F64" s="61"/>
      <c r="G64" s="61"/>
      <c r="H64" s="8" t="s">
        <v>8</v>
      </c>
      <c r="I64" s="13">
        <v>1193</v>
      </c>
      <c r="J64" s="13">
        <v>2699</v>
      </c>
      <c r="K64" s="13">
        <v>6310</v>
      </c>
      <c r="L64" s="11">
        <v>9812</v>
      </c>
      <c r="M64" s="333">
        <v>8374.9725733493397</v>
      </c>
      <c r="N64" s="333">
        <v>12457.771702857144</v>
      </c>
      <c r="O64" s="333">
        <v>17294.318363966388</v>
      </c>
      <c r="P64" s="333">
        <v>22292.083247112605</v>
      </c>
      <c r="Q64" s="333">
        <v>26521.863145282688</v>
      </c>
    </row>
    <row r="65" spans="4:19" ht="14.45" customHeight="1" x14ac:dyDescent="0.25">
      <c r="D65" s="61" t="s">
        <v>210</v>
      </c>
      <c r="E65" s="61"/>
      <c r="F65" s="61"/>
      <c r="G65" s="61"/>
      <c r="H65" s="8"/>
      <c r="I65" s="13">
        <v>1250</v>
      </c>
      <c r="J65" s="13">
        <v>1250</v>
      </c>
      <c r="K65" s="13">
        <v>0</v>
      </c>
      <c r="L65" s="11">
        <v>999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</row>
    <row r="66" spans="4:19" ht="14.45" customHeight="1" x14ac:dyDescent="0.25">
      <c r="D66" s="61" t="s">
        <v>42</v>
      </c>
      <c r="E66" s="61"/>
      <c r="F66" s="61"/>
      <c r="G66" s="61"/>
      <c r="H66" s="8" t="s">
        <v>8</v>
      </c>
      <c r="I66" s="13">
        <v>4120</v>
      </c>
      <c r="J66" s="13">
        <v>6682</v>
      </c>
      <c r="K66" s="13">
        <v>11737</v>
      </c>
      <c r="L66" s="11">
        <v>21352</v>
      </c>
      <c r="M66" s="333">
        <v>9222.4000000000015</v>
      </c>
      <c r="N66" s="333">
        <v>13833.600000000002</v>
      </c>
      <c r="O66" s="333">
        <v>19367.04</v>
      </c>
      <c r="P66" s="333">
        <v>25177.152000000002</v>
      </c>
      <c r="Q66" s="333">
        <v>30212.582400000003</v>
      </c>
    </row>
    <row r="67" spans="4:19" ht="15" customHeight="1" x14ac:dyDescent="0.25">
      <c r="D67" s="62" t="s">
        <v>43</v>
      </c>
      <c r="E67" s="62"/>
      <c r="F67" s="62"/>
      <c r="G67" s="62"/>
      <c r="H67" s="63" t="s">
        <v>8</v>
      </c>
      <c r="I67" s="53">
        <v>6563</v>
      </c>
      <c r="J67" s="53">
        <v>10631</v>
      </c>
      <c r="K67" s="53">
        <v>18047</v>
      </c>
      <c r="L67" s="255">
        <v>32163</v>
      </c>
      <c r="M67" s="85">
        <v>17597.372573349341</v>
      </c>
      <c r="N67" s="85">
        <v>26291.371702857148</v>
      </c>
      <c r="O67" s="85">
        <v>36661.358363966385</v>
      </c>
      <c r="P67" s="85">
        <v>47469.235247112607</v>
      </c>
      <c r="Q67" s="85">
        <v>56734.445545282695</v>
      </c>
    </row>
    <row r="68" spans="4:19" ht="6.2" customHeight="1" x14ac:dyDescent="0.25">
      <c r="D68" s="64"/>
      <c r="E68" s="64"/>
      <c r="F68" s="64"/>
      <c r="G68" s="64"/>
      <c r="H68" s="8"/>
      <c r="I68" s="55"/>
      <c r="J68" s="55"/>
      <c r="K68" s="55"/>
      <c r="L68" s="56"/>
      <c r="M68" s="55"/>
      <c r="N68" s="55"/>
      <c r="O68" s="55"/>
      <c r="P68" s="55"/>
      <c r="Q68" s="55"/>
    </row>
    <row r="69" spans="4:19" x14ac:dyDescent="0.25">
      <c r="D69" s="61" t="s">
        <v>44</v>
      </c>
      <c r="E69" s="61"/>
      <c r="F69" s="61"/>
      <c r="G69" s="61"/>
      <c r="H69" s="8" t="s">
        <v>8</v>
      </c>
      <c r="I69" s="13">
        <v>9703</v>
      </c>
      <c r="J69" s="13">
        <v>8459</v>
      </c>
      <c r="K69" s="13">
        <v>8463</v>
      </c>
      <c r="L69" s="11">
        <v>7469</v>
      </c>
      <c r="M69" s="333">
        <v>7213</v>
      </c>
      <c r="N69" s="333">
        <v>5963</v>
      </c>
      <c r="O69" s="333">
        <v>4713</v>
      </c>
      <c r="P69" s="333">
        <v>3463</v>
      </c>
      <c r="Q69" s="333">
        <v>2213</v>
      </c>
    </row>
    <row r="70" spans="4:19" x14ac:dyDescent="0.25">
      <c r="D70" s="61" t="s">
        <v>211</v>
      </c>
      <c r="E70" s="61"/>
      <c r="F70" s="61"/>
      <c r="G70" s="61"/>
      <c r="H70" s="8"/>
      <c r="I70" s="13">
        <v>2815</v>
      </c>
      <c r="J70" s="13">
        <v>3660</v>
      </c>
      <c r="K70" s="13">
        <v>5764</v>
      </c>
      <c r="L70" s="11">
        <v>9878</v>
      </c>
      <c r="M70" s="13">
        <v>5764</v>
      </c>
      <c r="N70" s="13">
        <v>5764</v>
      </c>
      <c r="O70" s="13">
        <v>5764</v>
      </c>
      <c r="P70" s="13">
        <v>5764</v>
      </c>
      <c r="Q70" s="13">
        <v>5764</v>
      </c>
    </row>
    <row r="71" spans="4:19" ht="15.75" thickBot="1" x14ac:dyDescent="0.3">
      <c r="D71" s="203" t="s">
        <v>45</v>
      </c>
      <c r="E71" s="203"/>
      <c r="F71" s="203"/>
      <c r="G71" s="203"/>
      <c r="H71" s="58" t="s">
        <v>8</v>
      </c>
      <c r="I71" s="59">
        <v>19081</v>
      </c>
      <c r="J71" s="59">
        <v>22750</v>
      </c>
      <c r="K71" s="59">
        <v>32274</v>
      </c>
      <c r="L71" s="256">
        <v>49510</v>
      </c>
      <c r="M71" s="237">
        <v>30574.372573349341</v>
      </c>
      <c r="N71" s="89">
        <v>38018.371702857148</v>
      </c>
      <c r="O71" s="89">
        <v>47138.358363966385</v>
      </c>
      <c r="P71" s="89">
        <v>56696.235247112607</v>
      </c>
      <c r="Q71" s="338">
        <v>64711.445545282695</v>
      </c>
    </row>
    <row r="72" spans="4:19" ht="6.2" customHeight="1" thickTop="1" x14ac:dyDescent="0.25">
      <c r="D72" s="65"/>
      <c r="E72" s="65"/>
      <c r="F72" s="65"/>
      <c r="G72" s="65"/>
      <c r="H72" s="8"/>
      <c r="I72" s="55"/>
      <c r="J72" s="55"/>
      <c r="K72" s="55"/>
      <c r="L72" s="56"/>
      <c r="M72" s="67"/>
      <c r="N72" s="67"/>
      <c r="O72" s="67"/>
      <c r="P72" s="67"/>
      <c r="Q72" s="67"/>
    </row>
    <row r="73" spans="4:19" x14ac:dyDescent="0.25">
      <c r="D73" s="64" t="s">
        <v>46</v>
      </c>
      <c r="E73" s="64"/>
      <c r="F73" s="64"/>
      <c r="G73" s="64"/>
      <c r="H73" s="8" t="s">
        <v>8</v>
      </c>
      <c r="I73" s="334">
        <v>22101</v>
      </c>
      <c r="J73" s="334">
        <v>42978</v>
      </c>
      <c r="K73" s="334">
        <v>79327</v>
      </c>
      <c r="L73" s="257">
        <v>157293</v>
      </c>
      <c r="M73" s="333">
        <v>201037.53024040657</v>
      </c>
      <c r="N73" s="333">
        <v>277547.22990184033</v>
      </c>
      <c r="O73" s="333">
        <v>396323.29846147279</v>
      </c>
      <c r="P73" s="333">
        <v>503959.12505069084</v>
      </c>
      <c r="Q73" s="333">
        <v>608471.50773150928</v>
      </c>
    </row>
    <row r="74" spans="4:19" ht="6.2" customHeight="1" x14ac:dyDescent="0.25">
      <c r="D74" s="64"/>
      <c r="E74" s="64"/>
      <c r="F74" s="64"/>
      <c r="G74" s="64"/>
      <c r="H74" s="8"/>
      <c r="I74" s="55"/>
      <c r="J74" s="55"/>
      <c r="K74" s="55"/>
      <c r="L74" s="56"/>
      <c r="M74" s="66"/>
      <c r="N74" s="66"/>
      <c r="O74" s="66"/>
      <c r="P74" s="66"/>
      <c r="Q74" s="66"/>
    </row>
    <row r="75" spans="4:19" ht="15.75" thickBot="1" x14ac:dyDescent="0.3">
      <c r="D75" s="57" t="s">
        <v>47</v>
      </c>
      <c r="E75" s="57"/>
      <c r="F75" s="57"/>
      <c r="G75" s="57"/>
      <c r="H75" s="58" t="s">
        <v>8</v>
      </c>
      <c r="I75" s="59">
        <v>41182</v>
      </c>
      <c r="J75" s="59">
        <v>65728</v>
      </c>
      <c r="K75" s="59">
        <v>111601</v>
      </c>
      <c r="L75" s="256">
        <v>206803</v>
      </c>
      <c r="M75" s="89">
        <v>231611.90281375591</v>
      </c>
      <c r="N75" s="89">
        <v>315565.60160469747</v>
      </c>
      <c r="O75" s="89">
        <v>443461.65682543919</v>
      </c>
      <c r="P75" s="89">
        <v>560655.36029780342</v>
      </c>
      <c r="Q75" s="338">
        <v>673182.95327679196</v>
      </c>
    </row>
    <row r="76" spans="4:19" ht="15.75" thickTop="1" x14ac:dyDescent="0.25">
      <c r="D76" s="68" t="s">
        <v>48</v>
      </c>
      <c r="E76" s="68"/>
      <c r="F76" s="68"/>
      <c r="G76" s="68"/>
      <c r="H76" s="35"/>
      <c r="I76" s="220" t="b">
        <v>1</v>
      </c>
      <c r="J76" s="220" t="b">
        <v>1</v>
      </c>
      <c r="K76" s="220" t="b">
        <v>1</v>
      </c>
      <c r="L76" s="224" t="b">
        <v>1</v>
      </c>
      <c r="M76" s="220" t="b">
        <v>1</v>
      </c>
      <c r="N76" s="220" t="b">
        <v>1</v>
      </c>
      <c r="O76" s="220" t="b">
        <v>1</v>
      </c>
      <c r="P76" s="220" t="b">
        <v>1</v>
      </c>
      <c r="Q76" s="220" t="b">
        <v>1</v>
      </c>
      <c r="R76" s="135"/>
    </row>
    <row r="77" spans="4:19" x14ac:dyDescent="0.25">
      <c r="H77" s="9"/>
      <c r="I77" s="222"/>
      <c r="J77" s="222"/>
      <c r="K77" s="222"/>
      <c r="L77" s="225"/>
      <c r="M77" s="26"/>
      <c r="N77" s="227">
        <f>ROUND(N75,2)</f>
        <v>315565.59999999998</v>
      </c>
      <c r="O77" s="222"/>
      <c r="P77" s="222"/>
      <c r="Q77" s="227">
        <f>ROUND(Q62,2)</f>
        <v>673182.95</v>
      </c>
    </row>
    <row r="78" spans="4:19" x14ac:dyDescent="0.25">
      <c r="D78" s="32" t="s">
        <v>49</v>
      </c>
      <c r="E78" s="32"/>
      <c r="F78" s="32"/>
      <c r="G78" s="32"/>
      <c r="H78" s="47" t="s">
        <v>6</v>
      </c>
      <c r="I78"/>
      <c r="J78" s="336"/>
      <c r="K78"/>
      <c r="L78" s="226"/>
      <c r="M78" s="222"/>
      <c r="N78" s="228">
        <f>ROUND(N62,2)</f>
        <v>315565.59999999998</v>
      </c>
      <c r="O78"/>
      <c r="P78"/>
      <c r="Q78" s="261">
        <f>ROUND(Q75,2)</f>
        <v>673182.95</v>
      </c>
    </row>
    <row r="79" spans="4:19" ht="3.95" customHeight="1" x14ac:dyDescent="0.25">
      <c r="H79" s="9"/>
      <c r="K79" s="1">
        <v>0</v>
      </c>
      <c r="L79" s="33">
        <v>0</v>
      </c>
      <c r="S79" s="5" t="s">
        <v>20</v>
      </c>
    </row>
    <row r="80" spans="4:19" x14ac:dyDescent="0.25">
      <c r="D80" s="69" t="s">
        <v>50</v>
      </c>
      <c r="E80" s="69"/>
      <c r="F80" s="69"/>
      <c r="G80" s="69"/>
      <c r="H80" s="70" t="s">
        <v>22</v>
      </c>
      <c r="I80" s="71">
        <f t="shared" ref="I80:L81" si="0">I54/I12</f>
        <v>0.14187736338696522</v>
      </c>
      <c r="J80" s="71">
        <f t="shared" si="0"/>
        <v>0.1641279012507797</v>
      </c>
      <c r="K80" s="71">
        <f t="shared" si="0"/>
        <v>0.17674735817681633</v>
      </c>
      <c r="L80" s="72">
        <f t="shared" si="0"/>
        <v>0.17813446452222398</v>
      </c>
      <c r="M80" s="79">
        <f>L80</f>
        <v>0.17813446452222398</v>
      </c>
      <c r="N80" s="73">
        <f t="shared" ref="N80:Q86" si="1">M80</f>
        <v>0.17813446452222398</v>
      </c>
      <c r="O80" s="73">
        <f t="shared" si="1"/>
        <v>0.17813446452222398</v>
      </c>
      <c r="P80" s="73">
        <f t="shared" si="1"/>
        <v>0.17813446452222398</v>
      </c>
      <c r="Q80" s="73">
        <f t="shared" si="1"/>
        <v>0.17813446452222398</v>
      </c>
    </row>
    <row r="81" spans="2:17" x14ac:dyDescent="0.25">
      <c r="D81" s="69" t="s">
        <v>51</v>
      </c>
      <c r="E81" s="69"/>
      <c r="F81" s="69"/>
      <c r="G81" s="69"/>
      <c r="H81" s="70" t="s">
        <v>22</v>
      </c>
      <c r="I81" s="71">
        <f t="shared" si="0"/>
        <v>0.44405233258736443</v>
      </c>
      <c r="J81" s="71">
        <f t="shared" si="0"/>
        <v>0.31779074664580953</v>
      </c>
      <c r="K81" s="71">
        <f t="shared" si="0"/>
        <v>0.30883299120683844</v>
      </c>
      <c r="L81" s="72">
        <f t="shared" si="0"/>
        <v>0.34258503401360546</v>
      </c>
      <c r="M81" s="71">
        <f>L81</f>
        <v>0.34258503401360546</v>
      </c>
      <c r="N81" s="71">
        <f>M81</f>
        <v>0.34258503401360546</v>
      </c>
      <c r="O81" s="71">
        <f>N81</f>
        <v>0.34258503401360546</v>
      </c>
      <c r="P81" s="71">
        <f>O81</f>
        <v>0.34258503401360546</v>
      </c>
      <c r="Q81" s="71">
        <f>P81</f>
        <v>0.34258503401360546</v>
      </c>
    </row>
    <row r="82" spans="2:17" x14ac:dyDescent="0.25">
      <c r="D82" s="69" t="s">
        <v>52</v>
      </c>
      <c r="E82" s="69"/>
      <c r="F82" s="69"/>
      <c r="G82" s="69"/>
      <c r="H82" s="70" t="s">
        <v>22</v>
      </c>
      <c r="I82" s="71">
        <f t="shared" ref="I82:L82" si="2">I56/I12</f>
        <v>2.9324534737154295E-2</v>
      </c>
      <c r="J82" s="71">
        <f t="shared" si="2"/>
        <v>5.0556449230163163E-2</v>
      </c>
      <c r="K82" s="71">
        <f t="shared" si="2"/>
        <v>2.8897216027954666E-2</v>
      </c>
      <c r="L82" s="72">
        <f t="shared" si="2"/>
        <v>1.4726449258583482E-2</v>
      </c>
      <c r="M82" s="79">
        <f>L82</f>
        <v>1.4726449258583482E-2</v>
      </c>
      <c r="N82" s="73">
        <f t="shared" si="1"/>
        <v>1.4726449258583482E-2</v>
      </c>
      <c r="O82" s="73">
        <f t="shared" si="1"/>
        <v>1.4726449258583482E-2</v>
      </c>
      <c r="P82" s="73">
        <f t="shared" si="1"/>
        <v>1.4726449258583482E-2</v>
      </c>
      <c r="Q82" s="73">
        <f t="shared" si="1"/>
        <v>1.4726449258583482E-2</v>
      </c>
    </row>
    <row r="83" spans="2:17" x14ac:dyDescent="0.25">
      <c r="D83" s="74" t="s">
        <v>53</v>
      </c>
      <c r="E83" s="74"/>
      <c r="F83" s="74"/>
      <c r="G83" s="74"/>
      <c r="H83" s="70" t="s">
        <v>8</v>
      </c>
      <c r="I83" s="337">
        <f t="shared" ref="I83:J83" si="3">-I110</f>
        <v>1833</v>
      </c>
      <c r="J83" s="337">
        <f t="shared" si="3"/>
        <v>1069</v>
      </c>
      <c r="K83" s="337">
        <f>-K110</f>
        <v>3236</v>
      </c>
      <c r="L83" s="75">
        <f>-L110</f>
        <v>6042</v>
      </c>
      <c r="M83" s="77">
        <f>M84 * M12</f>
        <v>11943.885976382551</v>
      </c>
      <c r="N83" s="77">
        <f>N84 * N12</f>
        <v>17915.82896457383</v>
      </c>
      <c r="O83" s="77">
        <f>O84 * O12</f>
        <v>25082.160550403358</v>
      </c>
      <c r="P83" s="77">
        <f>P84 * P12</f>
        <v>32606.808715524367</v>
      </c>
      <c r="Q83" s="77">
        <f>Q84 * Q12</f>
        <v>39128.17045862924</v>
      </c>
    </row>
    <row r="84" spans="2:17" x14ac:dyDescent="0.25">
      <c r="D84" s="74" t="s">
        <v>54</v>
      </c>
      <c r="E84" s="74"/>
      <c r="F84" s="74"/>
      <c r="G84" s="74"/>
      <c r="H84" s="70"/>
      <c r="I84" s="82">
        <f t="shared" ref="I84:L84" si="4">I83/I12</f>
        <v>6.7954326388373995E-2</v>
      </c>
      <c r="J84" s="82">
        <f t="shared" si="4"/>
        <v>1.7547027346442992E-2</v>
      </c>
      <c r="K84" s="82">
        <f t="shared" si="4"/>
        <v>2.4797504923484832E-2</v>
      </c>
      <c r="L84" s="78">
        <f t="shared" si="4"/>
        <v>2.7980253591308617E-2</v>
      </c>
      <c r="M84" s="79">
        <f>AVERAGE(I84:L84)</f>
        <v>3.4569778062402606E-2</v>
      </c>
      <c r="N84" s="79">
        <f>M84</f>
        <v>3.4569778062402606E-2</v>
      </c>
      <c r="O84" s="79">
        <f t="shared" ref="O84:Q84" si="5">N84</f>
        <v>3.4569778062402606E-2</v>
      </c>
      <c r="P84" s="79">
        <f t="shared" si="5"/>
        <v>3.4569778062402606E-2</v>
      </c>
      <c r="Q84" s="79">
        <f t="shared" si="5"/>
        <v>3.4569778062402606E-2</v>
      </c>
    </row>
    <row r="85" spans="2:17" x14ac:dyDescent="0.25">
      <c r="D85" s="80" t="s">
        <v>55</v>
      </c>
      <c r="E85" s="80"/>
      <c r="F85" s="80"/>
      <c r="G85" s="80"/>
      <c r="H85" s="70" t="s">
        <v>22</v>
      </c>
      <c r="I85" s="71">
        <f t="shared" ref="I85:L85" si="6">I64/I13</f>
        <v>0.1026854880358065</v>
      </c>
      <c r="J85" s="71">
        <f t="shared" si="6"/>
        <v>0.16238493472113591</v>
      </c>
      <c r="K85" s="71">
        <f t="shared" si="6"/>
        <v>0.19332700143999509</v>
      </c>
      <c r="L85" s="72">
        <f t="shared" si="6"/>
        <v>0.15705482192877152</v>
      </c>
      <c r="M85" s="79">
        <f>L85</f>
        <v>0.15705482192877152</v>
      </c>
      <c r="N85" s="73">
        <f t="shared" si="1"/>
        <v>0.15705482192877152</v>
      </c>
      <c r="O85" s="73">
        <f t="shared" si="1"/>
        <v>0.15705482192877152</v>
      </c>
      <c r="P85" s="73">
        <f t="shared" si="1"/>
        <v>0.15705482192877152</v>
      </c>
      <c r="Q85" s="73">
        <f t="shared" si="1"/>
        <v>0.15705482192877152</v>
      </c>
    </row>
    <row r="86" spans="2:17" x14ac:dyDescent="0.25">
      <c r="D86" s="69" t="s">
        <v>56</v>
      </c>
      <c r="E86" s="80"/>
      <c r="F86" s="80"/>
      <c r="G86" s="80"/>
      <c r="H86" s="70" t="s">
        <v>22</v>
      </c>
      <c r="I86" s="71">
        <f t="shared" ref="I86:L86" si="7">I70/I12</f>
        <v>0.10435975383702825</v>
      </c>
      <c r="J86" s="71">
        <f t="shared" si="7"/>
        <v>6.007681953973934E-2</v>
      </c>
      <c r="K86" s="71">
        <f t="shared" si="7"/>
        <v>4.4169597768531077E-2</v>
      </c>
      <c r="L86" s="72">
        <f t="shared" si="7"/>
        <v>4.5744611879335734E-2</v>
      </c>
      <c r="M86" s="79">
        <f>L86</f>
        <v>4.5744611879335734E-2</v>
      </c>
      <c r="N86" s="73">
        <f t="shared" si="1"/>
        <v>4.5744611879335734E-2</v>
      </c>
      <c r="O86" s="73">
        <f t="shared" si="1"/>
        <v>4.5744611879335734E-2</v>
      </c>
      <c r="P86" s="73">
        <f t="shared" si="1"/>
        <v>4.5744611879335734E-2</v>
      </c>
      <c r="Q86" s="73">
        <f t="shared" si="1"/>
        <v>4.5744611879335734E-2</v>
      </c>
    </row>
    <row r="87" spans="2:17" x14ac:dyDescent="0.25">
      <c r="D87" s="80" t="s">
        <v>57</v>
      </c>
      <c r="E87" s="80"/>
      <c r="F87" s="80"/>
      <c r="G87" s="80"/>
      <c r="H87" s="70" t="s">
        <v>8</v>
      </c>
      <c r="I87" s="82"/>
      <c r="J87" s="82"/>
      <c r="K87" s="82"/>
      <c r="L87" s="78"/>
      <c r="M87" s="10">
        <v>1250</v>
      </c>
      <c r="N87" s="10">
        <v>1250</v>
      </c>
      <c r="O87" s="10">
        <v>1250</v>
      </c>
      <c r="P87" s="10">
        <v>1250</v>
      </c>
      <c r="Q87" s="10">
        <v>1250</v>
      </c>
    </row>
    <row r="88" spans="2:17" x14ac:dyDescent="0.25">
      <c r="D88" s="80"/>
      <c r="E88" s="80"/>
      <c r="F88" s="80"/>
      <c r="G88" s="80"/>
      <c r="H88" s="70"/>
      <c r="I88" s="81"/>
      <c r="J88" s="82"/>
      <c r="K88" s="82"/>
      <c r="L88" s="82"/>
      <c r="M88" s="76"/>
      <c r="N88" s="76"/>
      <c r="O88" s="76"/>
      <c r="P88" s="76"/>
      <c r="Q88" s="76"/>
    </row>
    <row r="89" spans="2:17" x14ac:dyDescent="0.25">
      <c r="D89" s="80"/>
      <c r="E89" s="80"/>
      <c r="F89" s="80"/>
      <c r="G89" s="80"/>
      <c r="H89" s="70"/>
      <c r="I89" s="81"/>
      <c r="J89" s="82"/>
      <c r="K89" s="82"/>
      <c r="L89" s="82"/>
      <c r="M89" s="76"/>
      <c r="N89" s="76"/>
      <c r="O89" s="76"/>
      <c r="P89" s="76"/>
      <c r="Q89" s="76"/>
    </row>
    <row r="90" spans="2:17" x14ac:dyDescent="0.25">
      <c r="D90" s="80"/>
      <c r="E90" s="80"/>
      <c r="F90" s="80"/>
      <c r="G90" s="80"/>
      <c r="H90" s="70"/>
      <c r="I90" s="81"/>
      <c r="J90" s="82"/>
      <c r="K90" s="82"/>
      <c r="L90" s="82"/>
      <c r="M90" s="76"/>
      <c r="N90" s="76"/>
      <c r="O90" s="76"/>
      <c r="P90" s="76"/>
      <c r="Q90" s="76"/>
    </row>
    <row r="91" spans="2:17" x14ac:dyDescent="0.25">
      <c r="H91" s="9"/>
    </row>
    <row r="92" spans="2:17" s="192" customFormat="1" ht="18" thickBot="1" x14ac:dyDescent="0.35">
      <c r="B92" s="191" t="s">
        <v>58</v>
      </c>
      <c r="D92" s="195" t="s">
        <v>59</v>
      </c>
      <c r="E92" s="193"/>
      <c r="F92" s="193"/>
      <c r="G92" s="194"/>
    </row>
    <row r="93" spans="2:17" x14ac:dyDescent="0.25">
      <c r="H93" s="9"/>
    </row>
    <row r="94" spans="2:17" x14ac:dyDescent="0.25">
      <c r="B94" s="188"/>
      <c r="C94" s="4"/>
      <c r="D94" s="301" t="s">
        <v>59</v>
      </c>
      <c r="E94" s="301"/>
      <c r="F94" s="301"/>
      <c r="G94" s="301"/>
      <c r="H94" s="302"/>
      <c r="I94" s="430" t="s">
        <v>2</v>
      </c>
      <c r="J94" s="430"/>
      <c r="K94" s="430"/>
      <c r="L94" s="431"/>
      <c r="M94" s="286" t="s">
        <v>3</v>
      </c>
      <c r="N94" s="286"/>
      <c r="O94" s="286"/>
      <c r="P94" s="286"/>
      <c r="Q94" s="286"/>
    </row>
    <row r="95" spans="2:17" x14ac:dyDescent="0.25">
      <c r="D95" s="6" t="s">
        <v>5</v>
      </c>
      <c r="E95" s="7"/>
      <c r="F95" s="7"/>
      <c r="G95" s="7"/>
      <c r="H95" s="8" t="s">
        <v>6</v>
      </c>
      <c r="I95" s="303">
        <f>J95-1</f>
        <v>2022</v>
      </c>
      <c r="J95" s="303">
        <f>K95-1</f>
        <v>2023</v>
      </c>
      <c r="K95" s="303">
        <v>2024</v>
      </c>
      <c r="L95" s="304">
        <v>2025</v>
      </c>
      <c r="M95" s="287">
        <f>$M$10</f>
        <v>2027</v>
      </c>
      <c r="N95" s="287">
        <f>$N$10</f>
        <v>2028</v>
      </c>
      <c r="O95" s="287">
        <f>$O$10</f>
        <v>2029</v>
      </c>
      <c r="P95" s="287">
        <f>$P$10</f>
        <v>2030</v>
      </c>
      <c r="Q95" s="287">
        <f>$Q$10</f>
        <v>2031</v>
      </c>
    </row>
    <row r="96" spans="2:17" ht="3.95" customHeight="1" x14ac:dyDescent="0.25">
      <c r="H96" s="9"/>
      <c r="L96" s="221"/>
    </row>
    <row r="97" spans="4:17" x14ac:dyDescent="0.25">
      <c r="D97" s="307" t="s">
        <v>60</v>
      </c>
      <c r="E97" s="307"/>
      <c r="F97" s="307"/>
      <c r="G97" s="307"/>
      <c r="H97" s="308" t="s">
        <v>61</v>
      </c>
      <c r="I97" s="13">
        <v>4368</v>
      </c>
      <c r="J97" s="13">
        <v>29760</v>
      </c>
      <c r="K97" s="13">
        <v>72880</v>
      </c>
      <c r="L97" s="11">
        <v>120067</v>
      </c>
      <c r="M97" s="83">
        <v>187424.5178627836</v>
      </c>
      <c r="N97" s="83">
        <v>290765.91669285751</v>
      </c>
      <c r="O97" s="83">
        <v>404697.81085095712</v>
      </c>
      <c r="P97" s="83">
        <v>526669.73304649524</v>
      </c>
      <c r="Q97" s="83">
        <v>629350.86101666209</v>
      </c>
    </row>
    <row r="98" spans="4:17" x14ac:dyDescent="0.25">
      <c r="D98" s="309" t="s">
        <v>16</v>
      </c>
      <c r="E98" s="309"/>
      <c r="F98" s="309"/>
      <c r="G98" s="309"/>
      <c r="H98" s="308" t="s">
        <v>61</v>
      </c>
      <c r="I98" s="13">
        <v>1544</v>
      </c>
      <c r="J98" s="13">
        <v>1508</v>
      </c>
      <c r="K98" s="13">
        <v>1864</v>
      </c>
      <c r="L98" s="11">
        <v>2843</v>
      </c>
      <c r="M98" s="83">
        <v>4548.8000000000011</v>
      </c>
      <c r="N98" s="83">
        <v>6823.2000000000007</v>
      </c>
      <c r="O98" s="83">
        <v>9552.4800000000014</v>
      </c>
      <c r="P98" s="83">
        <v>12418.224000000002</v>
      </c>
      <c r="Q98" s="83">
        <v>14901.868800000002</v>
      </c>
    </row>
    <row r="99" spans="4:17" x14ac:dyDescent="0.25">
      <c r="D99" s="309" t="s">
        <v>62</v>
      </c>
      <c r="E99" s="309"/>
      <c r="F99" s="309"/>
      <c r="G99" s="309"/>
      <c r="H99" s="308" t="s">
        <v>61</v>
      </c>
      <c r="I99" s="13">
        <v>2709</v>
      </c>
      <c r="J99" s="13">
        <v>3549</v>
      </c>
      <c r="K99" s="13">
        <v>4737</v>
      </c>
      <c r="L99" s="11">
        <v>6386</v>
      </c>
      <c r="M99" s="83">
        <v>1449.6982453904259</v>
      </c>
      <c r="N99" s="83">
        <v>2540.8247756469073</v>
      </c>
      <c r="O99" s="83">
        <v>3557.1546859056693</v>
      </c>
      <c r="P99" s="83">
        <v>4624.301091677371</v>
      </c>
      <c r="Q99" s="83">
        <v>5549.1613100128452</v>
      </c>
    </row>
    <row r="100" spans="4:17" x14ac:dyDescent="0.25">
      <c r="D100" s="310" t="s">
        <v>63</v>
      </c>
      <c r="E100" s="310"/>
      <c r="F100" s="310"/>
      <c r="G100" s="310"/>
      <c r="H100" s="308" t="s">
        <v>61</v>
      </c>
      <c r="I100" s="13">
        <v>-773</v>
      </c>
      <c r="J100" s="13">
        <v>-3005</v>
      </c>
      <c r="K100" s="13">
        <v>-6009</v>
      </c>
      <c r="L100" s="11">
        <v>-10629</v>
      </c>
      <c r="M100" s="10">
        <v>0</v>
      </c>
      <c r="N100" s="83">
        <v>0</v>
      </c>
      <c r="O100" s="83">
        <v>0</v>
      </c>
      <c r="P100" s="83">
        <v>0</v>
      </c>
      <c r="Q100" s="83">
        <v>0</v>
      </c>
    </row>
    <row r="101" spans="4:17" x14ac:dyDescent="0.25">
      <c r="D101" s="311" t="s">
        <v>64</v>
      </c>
      <c r="E101" s="311"/>
      <c r="F101" s="311"/>
      <c r="G101" s="311"/>
      <c r="H101" s="308"/>
      <c r="I101" s="331"/>
      <c r="J101" s="331"/>
      <c r="K101" s="331"/>
      <c r="L101" s="84"/>
      <c r="M101" s="83"/>
      <c r="N101" s="83"/>
      <c r="O101" s="83"/>
      <c r="P101" s="83"/>
      <c r="Q101" s="83"/>
    </row>
    <row r="102" spans="4:17" x14ac:dyDescent="0.25">
      <c r="D102" s="312" t="s">
        <v>65</v>
      </c>
      <c r="E102" s="312"/>
      <c r="F102" s="312"/>
      <c r="G102" s="312"/>
      <c r="H102" s="308" t="s">
        <v>61</v>
      </c>
      <c r="I102" s="13">
        <v>822</v>
      </c>
      <c r="J102" s="13">
        <v>-6172</v>
      </c>
      <c r="K102" s="13">
        <v>-13063</v>
      </c>
      <c r="L102" s="11">
        <v>-15399</v>
      </c>
      <c r="M102" s="333">
        <v>-13839</v>
      </c>
      <c r="N102" s="333">
        <v>-18452.000000000007</v>
      </c>
      <c r="O102" s="333">
        <v>-22142.399999999987</v>
      </c>
      <c r="P102" s="333">
        <v>-23249.520000000019</v>
      </c>
      <c r="Q102" s="333">
        <v>-20149.584000000003</v>
      </c>
    </row>
    <row r="103" spans="4:17" x14ac:dyDescent="0.25">
      <c r="D103" s="312" t="s">
        <v>34</v>
      </c>
      <c r="E103" s="312"/>
      <c r="F103" s="312"/>
      <c r="G103" s="312"/>
      <c r="H103" s="308" t="s">
        <v>61</v>
      </c>
      <c r="I103" s="13">
        <v>-2554</v>
      </c>
      <c r="J103" s="13">
        <v>-98</v>
      </c>
      <c r="K103" s="13">
        <v>-4781</v>
      </c>
      <c r="L103" s="11">
        <v>-11324</v>
      </c>
      <c r="M103" s="51">
        <v>-3298.7200537815152</v>
      </c>
      <c r="N103" s="331">
        <v>-6522.1260262184878</v>
      </c>
      <c r="O103" s="331">
        <v>-7726.2108310588228</v>
      </c>
      <c r="P103" s="331">
        <v>-7983.7511920941179</v>
      </c>
      <c r="Q103" s="331">
        <v>-6756.9225631623558</v>
      </c>
    </row>
    <row r="104" spans="4:17" x14ac:dyDescent="0.25">
      <c r="D104" s="312" t="s">
        <v>35</v>
      </c>
      <c r="E104" s="312"/>
      <c r="F104" s="312"/>
      <c r="G104" s="312"/>
      <c r="H104" s="308" t="s">
        <v>61</v>
      </c>
      <c r="I104" s="13">
        <v>-1517</v>
      </c>
      <c r="J104" s="13">
        <v>-1522</v>
      </c>
      <c r="K104" s="13">
        <v>-395</v>
      </c>
      <c r="L104" s="11">
        <v>577</v>
      </c>
      <c r="M104" s="83">
        <v>-2262.6000000000004</v>
      </c>
      <c r="N104" s="83">
        <v>-3016.7999999999993</v>
      </c>
      <c r="O104" s="83">
        <v>-3620.16</v>
      </c>
      <c r="P104" s="83">
        <v>-3801.1679999999997</v>
      </c>
      <c r="Q104" s="83">
        <v>-3294.3456000000006</v>
      </c>
    </row>
    <row r="105" spans="4:17" x14ac:dyDescent="0.25">
      <c r="D105" s="312" t="s">
        <v>41</v>
      </c>
      <c r="E105" s="312"/>
      <c r="F105" s="312"/>
      <c r="G105" s="312"/>
      <c r="H105" s="308" t="s">
        <v>61</v>
      </c>
      <c r="I105" s="13">
        <v>-551</v>
      </c>
      <c r="J105" s="13">
        <v>1531</v>
      </c>
      <c r="K105" s="13">
        <v>3357</v>
      </c>
      <c r="L105" s="11">
        <v>3096</v>
      </c>
      <c r="M105" s="333">
        <v>2064.9725733493397</v>
      </c>
      <c r="N105" s="333">
        <v>4082.7991295078045</v>
      </c>
      <c r="O105" s="333">
        <v>4836.5466611092434</v>
      </c>
      <c r="P105" s="333">
        <v>4997.7648831462175</v>
      </c>
      <c r="Q105" s="333">
        <v>4229.7798981700835</v>
      </c>
    </row>
    <row r="106" spans="4:17" x14ac:dyDescent="0.25">
      <c r="D106" s="312" t="s">
        <v>42</v>
      </c>
      <c r="E106" s="312"/>
      <c r="F106" s="312"/>
      <c r="G106" s="312"/>
      <c r="H106" s="308" t="s">
        <v>61</v>
      </c>
      <c r="I106" s="13">
        <v>1341</v>
      </c>
      <c r="J106" s="13">
        <v>2025</v>
      </c>
      <c r="K106" s="13">
        <v>4278</v>
      </c>
      <c r="L106" s="11">
        <v>5257</v>
      </c>
      <c r="M106" s="83">
        <v>-2514.5999999999985</v>
      </c>
      <c r="N106" s="83">
        <v>4611.2000000000007</v>
      </c>
      <c r="O106" s="83">
        <v>5533.4399999999987</v>
      </c>
      <c r="P106" s="83">
        <v>5810.112000000001</v>
      </c>
      <c r="Q106" s="83">
        <v>5035.4304000000011</v>
      </c>
    </row>
    <row r="107" spans="4:17" x14ac:dyDescent="0.25">
      <c r="D107" s="312" t="s">
        <v>66</v>
      </c>
      <c r="E107" s="312"/>
      <c r="F107" s="312"/>
      <c r="G107" s="312"/>
      <c r="H107" s="308"/>
      <c r="I107" s="13">
        <v>252</v>
      </c>
      <c r="J107" s="13">
        <v>514</v>
      </c>
      <c r="K107" s="13">
        <v>1221</v>
      </c>
      <c r="L107" s="223">
        <v>1844</v>
      </c>
      <c r="M107" s="83">
        <v>0</v>
      </c>
      <c r="N107" s="83">
        <v>0</v>
      </c>
      <c r="O107" s="83">
        <v>0</v>
      </c>
      <c r="P107" s="83">
        <v>0</v>
      </c>
      <c r="Q107" s="83">
        <v>0</v>
      </c>
    </row>
    <row r="108" spans="4:17" x14ac:dyDescent="0.25">
      <c r="D108" s="313" t="s">
        <v>67</v>
      </c>
      <c r="E108" s="314"/>
      <c r="F108" s="314"/>
      <c r="G108" s="314"/>
      <c r="H108" s="315" t="s">
        <v>61</v>
      </c>
      <c r="I108" s="85">
        <v>5641</v>
      </c>
      <c r="J108" s="85">
        <v>28090</v>
      </c>
      <c r="K108" s="85">
        <v>64089</v>
      </c>
      <c r="L108" s="86">
        <v>102718</v>
      </c>
      <c r="M108" s="85">
        <v>173573.06862774183</v>
      </c>
      <c r="N108" s="85">
        <v>280833.01457179378</v>
      </c>
      <c r="O108" s="85">
        <v>394688.66136691329</v>
      </c>
      <c r="P108" s="85">
        <v>519485.69582922477</v>
      </c>
      <c r="Q108" s="85">
        <v>628866.2492616825</v>
      </c>
    </row>
    <row r="109" spans="4:17" x14ac:dyDescent="0.25">
      <c r="D109" s="316"/>
      <c r="E109" s="316"/>
      <c r="F109" s="316"/>
      <c r="G109" s="316"/>
      <c r="H109" s="308"/>
      <c r="I109" s="331"/>
      <c r="J109" s="331"/>
      <c r="K109" s="331"/>
      <c r="L109" s="84"/>
      <c r="M109" s="83"/>
      <c r="N109" s="83"/>
      <c r="O109" s="83"/>
      <c r="P109" s="83"/>
      <c r="Q109" s="83"/>
    </row>
    <row r="110" spans="4:17" x14ac:dyDescent="0.25">
      <c r="I110" s="13">
        <v>-1833</v>
      </c>
      <c r="J110" s="13">
        <v>-1069</v>
      </c>
      <c r="K110" s="13">
        <v>-3236</v>
      </c>
      <c r="L110" s="11">
        <v>-6042</v>
      </c>
      <c r="M110" s="83">
        <v>-8099.0899249619615</v>
      </c>
      <c r="N110" s="83">
        <v>-12148.634887442942</v>
      </c>
      <c r="O110" s="83">
        <v>-17008.088842420118</v>
      </c>
      <c r="P110" s="83">
        <v>-22110.515495146155</v>
      </c>
      <c r="Q110" s="83">
        <v>-26532.618594175387</v>
      </c>
    </row>
    <row r="111" spans="4:17" x14ac:dyDescent="0.25">
      <c r="D111" s="310" t="s">
        <v>53</v>
      </c>
      <c r="E111" s="310"/>
      <c r="F111" s="310"/>
      <c r="G111" s="310"/>
      <c r="H111" s="308" t="s">
        <v>61</v>
      </c>
      <c r="I111" s="13">
        <v>-126</v>
      </c>
      <c r="J111" s="13">
        <v>-1068</v>
      </c>
      <c r="K111" s="13">
        <v>-2471</v>
      </c>
      <c r="L111" s="11">
        <v>-58118</v>
      </c>
      <c r="M111" s="10">
        <v>0</v>
      </c>
      <c r="N111" s="10">
        <v>0</v>
      </c>
      <c r="O111" s="10">
        <v>0</v>
      </c>
      <c r="P111" s="83">
        <v>0</v>
      </c>
      <c r="Q111" s="83">
        <v>0</v>
      </c>
    </row>
    <row r="112" spans="4:17" x14ac:dyDescent="0.25">
      <c r="D112" s="310" t="s">
        <v>68</v>
      </c>
      <c r="E112" s="310"/>
      <c r="F112" s="310"/>
      <c r="G112" s="310"/>
      <c r="H112" s="308" t="s">
        <v>61</v>
      </c>
      <c r="I112" s="13">
        <v>9334</v>
      </c>
      <c r="J112" s="13">
        <v>-8429</v>
      </c>
      <c r="K112" s="13">
        <v>-14714</v>
      </c>
      <c r="L112" s="11">
        <v>26467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</row>
    <row r="113" spans="4:17" x14ac:dyDescent="0.25">
      <c r="D113" s="310" t="s">
        <v>212</v>
      </c>
      <c r="E113" s="310"/>
      <c r="F113" s="310"/>
      <c r="G113" s="310"/>
      <c r="H113" s="308" t="s">
        <v>61</v>
      </c>
      <c r="I113" s="13"/>
      <c r="J113" s="13"/>
      <c r="K113" s="13"/>
      <c r="L113" s="11">
        <v>-14535</v>
      </c>
      <c r="M113" s="10"/>
      <c r="N113" s="10"/>
      <c r="O113" s="10"/>
      <c r="P113" s="10"/>
      <c r="Q113" s="10"/>
    </row>
    <row r="114" spans="4:17" x14ac:dyDescent="0.25">
      <c r="D114" s="317" t="s">
        <v>69</v>
      </c>
      <c r="E114" s="318"/>
      <c r="F114" s="318"/>
      <c r="G114" s="318"/>
      <c r="H114" s="315" t="s">
        <v>61</v>
      </c>
      <c r="I114" s="85">
        <v>7375</v>
      </c>
      <c r="J114" s="85">
        <v>-10566</v>
      </c>
      <c r="K114" s="85">
        <v>-20421</v>
      </c>
      <c r="L114" s="86">
        <v>-52228</v>
      </c>
      <c r="M114" s="85">
        <v>-8099.0899249619615</v>
      </c>
      <c r="N114" s="85">
        <v>-12148.634887442942</v>
      </c>
      <c r="O114" s="85">
        <v>-17008.088842420118</v>
      </c>
      <c r="P114" s="85">
        <v>-22110.515495146155</v>
      </c>
      <c r="Q114" s="85">
        <v>-26532.618594175387</v>
      </c>
    </row>
    <row r="115" spans="4:17" x14ac:dyDescent="0.25">
      <c r="I115" s="331"/>
      <c r="J115" s="331"/>
      <c r="K115" s="331"/>
      <c r="L115" s="84"/>
      <c r="M115" s="83"/>
      <c r="N115" s="83"/>
      <c r="O115" s="83"/>
      <c r="P115" s="83"/>
      <c r="Q115" s="83"/>
    </row>
    <row r="116" spans="4:17" x14ac:dyDescent="0.25">
      <c r="D116" s="310" t="s">
        <v>70</v>
      </c>
      <c r="E116" s="310"/>
      <c r="F116" s="310"/>
      <c r="G116" s="310"/>
      <c r="H116" s="308" t="s">
        <v>61</v>
      </c>
      <c r="I116" s="13">
        <v>0</v>
      </c>
      <c r="J116" s="13">
        <v>0</v>
      </c>
      <c r="K116" s="13">
        <v>0</v>
      </c>
      <c r="L116" s="11">
        <v>0</v>
      </c>
      <c r="M116" s="10">
        <v>0</v>
      </c>
      <c r="N116" s="83">
        <v>0</v>
      </c>
      <c r="O116" s="83">
        <v>0</v>
      </c>
      <c r="P116" s="83">
        <v>0</v>
      </c>
      <c r="Q116" s="83">
        <v>0</v>
      </c>
    </row>
    <row r="117" spans="4:17" x14ac:dyDescent="0.25">
      <c r="D117" s="310" t="s">
        <v>71</v>
      </c>
      <c r="E117" s="310"/>
      <c r="F117" s="310"/>
      <c r="G117" s="310"/>
      <c r="H117" s="308" t="s">
        <v>61</v>
      </c>
      <c r="I117" s="13">
        <v>0</v>
      </c>
      <c r="J117" s="13">
        <v>-1250</v>
      </c>
      <c r="K117" s="13">
        <v>-1250</v>
      </c>
      <c r="L117" s="11">
        <v>0</v>
      </c>
      <c r="M117" s="83">
        <v>-1250</v>
      </c>
      <c r="N117" s="83">
        <v>-1250</v>
      </c>
      <c r="O117" s="83">
        <v>-1250</v>
      </c>
      <c r="P117" s="83">
        <v>-1250</v>
      </c>
      <c r="Q117" s="83">
        <v>-1250</v>
      </c>
    </row>
    <row r="118" spans="4:17" x14ac:dyDescent="0.25">
      <c r="D118" s="310" t="s">
        <v>213</v>
      </c>
      <c r="E118" s="310"/>
      <c r="F118" s="310"/>
      <c r="G118" s="310"/>
      <c r="H118" s="308" t="s">
        <v>61</v>
      </c>
      <c r="I118" s="13">
        <v>355</v>
      </c>
      <c r="J118" s="13">
        <v>403</v>
      </c>
      <c r="K118" s="13">
        <v>490</v>
      </c>
      <c r="L118" s="11">
        <v>644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</row>
    <row r="119" spans="4:17" x14ac:dyDescent="0.25">
      <c r="D119" s="310" t="s">
        <v>72</v>
      </c>
      <c r="E119" s="310"/>
      <c r="F119" s="310"/>
      <c r="G119" s="310"/>
      <c r="H119" s="308" t="s">
        <v>61</v>
      </c>
      <c r="I119" s="13">
        <v>-398</v>
      </c>
      <c r="J119" s="13">
        <v>-395</v>
      </c>
      <c r="K119" s="13">
        <v>-834</v>
      </c>
      <c r="L119" s="11">
        <v>-974</v>
      </c>
      <c r="M119" s="83">
        <v>-5807.614439196057</v>
      </c>
      <c r="N119" s="83">
        <v>-9009.7942119174004</v>
      </c>
      <c r="O119" s="83">
        <v>-12540.135498866619</v>
      </c>
      <c r="P119" s="83">
        <v>-16319.608454682948</v>
      </c>
      <c r="Q119" s="83">
        <v>-19501.328798597951</v>
      </c>
    </row>
    <row r="120" spans="4:17" x14ac:dyDescent="0.25">
      <c r="D120" s="310" t="s">
        <v>214</v>
      </c>
      <c r="E120" s="310"/>
      <c r="F120" s="310"/>
      <c r="G120" s="310"/>
      <c r="H120" s="308"/>
      <c r="I120" s="13">
        <v>-10039</v>
      </c>
      <c r="J120" s="13">
        <v>-9533</v>
      </c>
      <c r="K120" s="13">
        <v>-33706</v>
      </c>
      <c r="L120" s="11">
        <v>-40086</v>
      </c>
      <c r="M120" s="83">
        <v>-61356.071428571435</v>
      </c>
      <c r="N120" s="83">
        <v>-207787.24759515325</v>
      </c>
      <c r="O120" s="83">
        <v>-276938.76147836359</v>
      </c>
      <c r="P120" s="83">
        <v>-407338.59909427154</v>
      </c>
      <c r="Q120" s="83">
        <v>-510886.31084725854</v>
      </c>
    </row>
    <row r="121" spans="4:17" x14ac:dyDescent="0.25">
      <c r="D121" s="310" t="s">
        <v>63</v>
      </c>
      <c r="E121" s="310"/>
      <c r="F121" s="310"/>
      <c r="G121" s="310"/>
      <c r="H121" s="308"/>
      <c r="I121" s="13">
        <v>-1535</v>
      </c>
      <c r="J121" s="13">
        <v>-2858</v>
      </c>
      <c r="K121" s="13">
        <v>-7059</v>
      </c>
      <c r="L121" s="11">
        <v>-8058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</row>
    <row r="122" spans="4:17" x14ac:dyDescent="0.25">
      <c r="D122" s="313" t="s">
        <v>73</v>
      </c>
      <c r="E122" s="314"/>
      <c r="F122" s="314"/>
      <c r="G122" s="314"/>
      <c r="H122" s="315" t="s">
        <v>61</v>
      </c>
      <c r="I122" s="85">
        <v>-11617</v>
      </c>
      <c r="J122" s="85">
        <v>-13633</v>
      </c>
      <c r="K122" s="85">
        <v>-42359</v>
      </c>
      <c r="L122" s="86">
        <v>-48474</v>
      </c>
      <c r="M122" s="85">
        <v>-68413.68586776749</v>
      </c>
      <c r="N122" s="85">
        <v>-218047.04180707067</v>
      </c>
      <c r="O122" s="85">
        <v>-290728.89697723021</v>
      </c>
      <c r="P122" s="85">
        <v>-424908.20754895447</v>
      </c>
      <c r="Q122" s="85">
        <v>-531637.63964585646</v>
      </c>
    </row>
    <row r="123" spans="4:17" x14ac:dyDescent="0.25">
      <c r="I123" s="331"/>
      <c r="J123" s="331"/>
      <c r="K123" s="331"/>
      <c r="L123" s="84"/>
      <c r="M123" s="83"/>
      <c r="N123" s="83"/>
      <c r="O123" s="83"/>
      <c r="P123" s="83"/>
      <c r="Q123" s="83"/>
    </row>
    <row r="124" spans="4:17" x14ac:dyDescent="0.25">
      <c r="D124" s="319" t="s">
        <v>74</v>
      </c>
      <c r="E124" s="316"/>
      <c r="F124" s="316"/>
      <c r="G124" s="316"/>
      <c r="H124" s="308"/>
      <c r="I124" s="13">
        <v>0</v>
      </c>
      <c r="J124" s="13">
        <v>0</v>
      </c>
      <c r="K124" s="13">
        <v>0</v>
      </c>
      <c r="L124" s="11">
        <v>0</v>
      </c>
      <c r="M124" s="83">
        <v>0</v>
      </c>
      <c r="N124" s="83">
        <v>0</v>
      </c>
      <c r="O124" s="83">
        <v>0</v>
      </c>
      <c r="P124" s="83">
        <v>0</v>
      </c>
      <c r="Q124" s="83">
        <v>0</v>
      </c>
    </row>
    <row r="125" spans="4:17" x14ac:dyDescent="0.25">
      <c r="D125" s="320" t="s">
        <v>75</v>
      </c>
      <c r="E125" s="320"/>
      <c r="F125" s="320"/>
      <c r="G125" s="320"/>
      <c r="H125" s="321" t="s">
        <v>61</v>
      </c>
      <c r="I125" s="87">
        <v>1399</v>
      </c>
      <c r="J125" s="87">
        <v>3891</v>
      </c>
      <c r="K125" s="87">
        <v>1309</v>
      </c>
      <c r="L125" s="88">
        <v>2016</v>
      </c>
      <c r="M125" s="258">
        <v>97060.292835012369</v>
      </c>
      <c r="N125" s="238">
        <v>50637.337877280166</v>
      </c>
      <c r="O125" s="238">
        <v>86951.675547262945</v>
      </c>
      <c r="P125" s="238">
        <v>72466.972785124148</v>
      </c>
      <c r="Q125" s="238">
        <v>70695.99102165061</v>
      </c>
    </row>
    <row r="126" spans="4:17" x14ac:dyDescent="0.25">
      <c r="D126" s="339" t="s">
        <v>76</v>
      </c>
      <c r="E126" s="310"/>
      <c r="F126" s="310"/>
      <c r="G126" s="310"/>
      <c r="H126" s="308" t="s">
        <v>61</v>
      </c>
      <c r="I126" s="331">
        <v>1990</v>
      </c>
      <c r="J126" s="331">
        <v>3389</v>
      </c>
      <c r="K126" s="331">
        <v>7280</v>
      </c>
      <c r="L126" s="84">
        <v>8589</v>
      </c>
      <c r="M126" s="258">
        <v>10605</v>
      </c>
      <c r="N126" s="238">
        <v>105649.2928350124</v>
      </c>
      <c r="O126" s="238">
        <v>156286.63071229256</v>
      </c>
      <c r="P126" s="238">
        <v>243238.30625955551</v>
      </c>
      <c r="Q126" s="238">
        <v>315705.27904467966</v>
      </c>
    </row>
    <row r="127" spans="4:17" x14ac:dyDescent="0.25">
      <c r="D127" s="340" t="s">
        <v>63</v>
      </c>
      <c r="E127" s="341"/>
      <c r="F127" s="341"/>
      <c r="G127" s="341"/>
      <c r="H127" s="341"/>
      <c r="I127" s="87">
        <v>0</v>
      </c>
      <c r="J127" s="87">
        <v>0</v>
      </c>
      <c r="K127" s="87">
        <v>0</v>
      </c>
      <c r="L127" s="88">
        <v>0</v>
      </c>
      <c r="M127" s="322">
        <v>-2015.9999999999709</v>
      </c>
      <c r="N127" s="323">
        <v>0</v>
      </c>
      <c r="O127" s="323">
        <v>0</v>
      </c>
      <c r="P127" s="323">
        <v>0</v>
      </c>
      <c r="Q127" s="323">
        <v>0</v>
      </c>
    </row>
    <row r="128" spans="4:17" ht="15.75" thickBot="1" x14ac:dyDescent="0.3">
      <c r="D128" s="324" t="s">
        <v>77</v>
      </c>
      <c r="E128" s="325"/>
      <c r="F128" s="325"/>
      <c r="G128" s="325"/>
      <c r="H128" s="326" t="s">
        <v>61</v>
      </c>
      <c r="I128" s="89">
        <v>3389</v>
      </c>
      <c r="J128" s="89">
        <v>7280</v>
      </c>
      <c r="K128" s="89">
        <v>8589</v>
      </c>
      <c r="L128" s="90">
        <v>10605</v>
      </c>
      <c r="M128" s="89">
        <v>105649.2928350124</v>
      </c>
      <c r="N128" s="89">
        <v>156286.63071229256</v>
      </c>
      <c r="O128" s="89">
        <v>243238.30625955551</v>
      </c>
      <c r="P128" s="89">
        <v>315705.27904467966</v>
      </c>
      <c r="Q128" s="89">
        <v>386401.27006633027</v>
      </c>
    </row>
    <row r="129" spans="2:26" ht="3.95" customHeight="1" thickTop="1" x14ac:dyDescent="0.25">
      <c r="D129"/>
      <c r="E129"/>
      <c r="F129"/>
      <c r="G129"/>
      <c r="H129"/>
      <c r="L129" s="25"/>
      <c r="S129" s="5" t="s">
        <v>20</v>
      </c>
    </row>
    <row r="130" spans="2:26" x14ac:dyDescent="0.25">
      <c r="I130"/>
      <c r="J130"/>
      <c r="K130"/>
      <c r="L130" s="31"/>
      <c r="M130"/>
      <c r="N130"/>
      <c r="O130"/>
      <c r="P130"/>
      <c r="Q130"/>
    </row>
    <row r="131" spans="2:26" x14ac:dyDescent="0.25">
      <c r="D131" s="327" t="s">
        <v>78</v>
      </c>
      <c r="E131" s="327"/>
      <c r="F131" s="327"/>
      <c r="G131" s="327"/>
      <c r="H131" s="328" t="s">
        <v>6</v>
      </c>
      <c r="L131" s="33"/>
    </row>
    <row r="132" spans="2:26" x14ac:dyDescent="0.25">
      <c r="D132" s="329" t="s">
        <v>79</v>
      </c>
      <c r="E132" s="329"/>
      <c r="F132" s="329"/>
      <c r="G132" s="329"/>
      <c r="H132" s="330" t="s">
        <v>22</v>
      </c>
      <c r="I132" s="332">
        <v>0.14549180327868852</v>
      </c>
      <c r="J132" s="332">
        <v>0.15184626978146196</v>
      </c>
      <c r="K132" s="332">
        <v>0.1403609281008307</v>
      </c>
      <c r="L132" s="259">
        <v>0.14064206158549902</v>
      </c>
      <c r="M132" s="79">
        <v>0.14064206158549902</v>
      </c>
      <c r="N132" s="79">
        <v>0.16433159370038652</v>
      </c>
      <c r="O132" s="79">
        <v>0.16433159370038652</v>
      </c>
      <c r="P132" s="79">
        <v>0.16433159370038652</v>
      </c>
      <c r="Q132" s="79">
        <v>0.16433159370038652</v>
      </c>
    </row>
    <row r="133" spans="2:26" x14ac:dyDescent="0.25">
      <c r="D133" s="329" t="s">
        <v>80</v>
      </c>
      <c r="E133" s="329"/>
      <c r="F133" s="329"/>
      <c r="G133" s="329"/>
      <c r="H133" s="330" t="s">
        <v>22</v>
      </c>
      <c r="I133" s="332">
        <v>9.1117216117216113E-2</v>
      </c>
      <c r="J133" s="332">
        <v>1.3272849462365592E-2</v>
      </c>
      <c r="K133" s="332">
        <v>1.1443468715697036E-2</v>
      </c>
      <c r="L133" s="259">
        <v>8.1121373899572732E-3</v>
      </c>
      <c r="M133" s="79">
        <v>3.0986417921309004E-2</v>
      </c>
      <c r="N133" s="79">
        <v>3.0986417921309004E-2</v>
      </c>
      <c r="O133" s="79">
        <v>3.0986417921309004E-2</v>
      </c>
      <c r="P133" s="79">
        <v>3.0986417921309004E-2</v>
      </c>
      <c r="Q133" s="79">
        <v>3.0986417921309004E-2</v>
      </c>
    </row>
    <row r="134" spans="2:26" x14ac:dyDescent="0.25">
      <c r="D134" s="329" t="s">
        <v>215</v>
      </c>
      <c r="E134" s="329"/>
      <c r="F134" s="329"/>
      <c r="G134" s="329"/>
      <c r="H134" s="330"/>
      <c r="I134" s="332"/>
      <c r="J134" s="332">
        <v>0.71698255114320097</v>
      </c>
      <c r="K134" s="332">
        <v>1.297182881773399</v>
      </c>
      <c r="L134" s="259">
        <v>1.5427185960591132</v>
      </c>
      <c r="M134" s="79">
        <v>1.4199507389162562</v>
      </c>
      <c r="N134" s="79">
        <v>1.4813346674876846</v>
      </c>
      <c r="O134" s="79">
        <v>1.4506427032019704</v>
      </c>
      <c r="P134" s="79">
        <v>1.4659886853448274</v>
      </c>
      <c r="Q134" s="79">
        <v>1.458315694273399</v>
      </c>
    </row>
    <row r="135" spans="2:26" customFormat="1" x14ac:dyDescent="0.25">
      <c r="B135" s="275"/>
      <c r="D135" s="276"/>
      <c r="E135" s="277"/>
      <c r="F135" s="278"/>
      <c r="G135" s="279"/>
      <c r="H135" s="279"/>
      <c r="I135" s="279"/>
      <c r="J135" s="280"/>
      <c r="K135" s="280"/>
      <c r="L135" s="280"/>
      <c r="M135" s="280"/>
      <c r="N135" s="280"/>
    </row>
    <row r="136" spans="2:26" customFormat="1" x14ac:dyDescent="0.25">
      <c r="B136" s="275"/>
      <c r="D136" s="276"/>
      <c r="E136" s="277"/>
      <c r="F136" s="278"/>
      <c r="G136" s="279"/>
      <c r="H136" s="279"/>
      <c r="I136" s="279"/>
      <c r="J136" s="280"/>
      <c r="K136" s="280"/>
      <c r="L136" s="280"/>
      <c r="M136" s="280"/>
      <c r="N136" s="280"/>
    </row>
    <row r="137" spans="2:26" s="282" customFormat="1" ht="18" thickBot="1" x14ac:dyDescent="0.35">
      <c r="B137" s="281" t="s">
        <v>0</v>
      </c>
      <c r="D137" s="283" t="s">
        <v>82</v>
      </c>
      <c r="E137" s="284"/>
      <c r="F137" s="284"/>
      <c r="G137" s="285"/>
    </row>
    <row r="138" spans="2:26" ht="15" customHeight="1" x14ac:dyDescent="0.25">
      <c r="D138" s="190"/>
      <c r="E138" s="2"/>
      <c r="F138" s="2"/>
      <c r="G138" s="3"/>
    </row>
    <row r="139" spans="2:26" x14ac:dyDescent="0.25">
      <c r="D139" s="91" t="s">
        <v>83</v>
      </c>
      <c r="E139" s="91"/>
      <c r="F139" s="91"/>
      <c r="G139" s="91"/>
      <c r="H139" s="91"/>
      <c r="J139" s="92" t="s">
        <v>84</v>
      </c>
      <c r="K139" s="93"/>
      <c r="L139" s="93"/>
      <c r="M139" s="93"/>
    </row>
    <row r="140" spans="2:26" ht="3.95" customHeight="1" thickBot="1" x14ac:dyDescent="0.3"/>
    <row r="141" spans="2:26" x14ac:dyDescent="0.25">
      <c r="D141" s="1" t="s">
        <v>85</v>
      </c>
      <c r="G141" s="247">
        <v>4.2630000000000001E-2</v>
      </c>
      <c r="H141" s="95">
        <v>1</v>
      </c>
      <c r="J141" s="96" t="s">
        <v>86</v>
      </c>
      <c r="K141" s="96" t="s">
        <v>87</v>
      </c>
      <c r="L141" s="93" t="s">
        <v>88</v>
      </c>
      <c r="M141" s="1" t="s">
        <v>89</v>
      </c>
      <c r="Q141" s="97"/>
      <c r="U141" s="415" t="s">
        <v>282</v>
      </c>
      <c r="V141" s="416"/>
      <c r="W141" s="416"/>
      <c r="X141" s="416"/>
      <c r="Y141" s="416"/>
      <c r="Z141" s="417"/>
    </row>
    <row r="142" spans="2:26" x14ac:dyDescent="0.25">
      <c r="D142" s="1" t="s">
        <v>90</v>
      </c>
      <c r="G142" s="262">
        <v>1.62</v>
      </c>
      <c r="H142" s="95">
        <v>2</v>
      </c>
      <c r="J142" s="211">
        <v>4.1000000000000003E-3</v>
      </c>
      <c r="K142" s="10">
        <v>0</v>
      </c>
      <c r="L142" s="98">
        <f>K142/($K$152-$K$151)</f>
        <v>0</v>
      </c>
      <c r="M142" s="99">
        <f>L142*J142</f>
        <v>0</v>
      </c>
      <c r="Q142" s="100"/>
      <c r="U142" s="418"/>
      <c r="V142" s="419"/>
      <c r="W142" s="419"/>
      <c r="X142" s="419"/>
      <c r="Y142" s="419"/>
      <c r="Z142" s="420"/>
    </row>
    <row r="143" spans="2:26" x14ac:dyDescent="0.25">
      <c r="D143" s="1" t="s">
        <v>91</v>
      </c>
      <c r="G143" s="247">
        <v>4.0599999999999997E-2</v>
      </c>
      <c r="H143" s="95">
        <v>3</v>
      </c>
      <c r="J143" s="211">
        <v>6.6E-3</v>
      </c>
      <c r="K143" s="10">
        <v>0</v>
      </c>
      <c r="L143" s="98">
        <f t="shared" ref="L143:L150" si="8">K143/($K$152-$K$151)</f>
        <v>0</v>
      </c>
      <c r="M143" s="99">
        <f t="shared" ref="M143:M150" si="9">L143*J143</f>
        <v>0</v>
      </c>
      <c r="Q143" s="100"/>
      <c r="U143" s="418"/>
      <c r="V143" s="419"/>
      <c r="W143" s="419"/>
      <c r="X143" s="419"/>
      <c r="Y143" s="419"/>
      <c r="Z143" s="420"/>
    </row>
    <row r="144" spans="2:26" x14ac:dyDescent="0.25">
      <c r="D144" s="101" t="s">
        <v>92</v>
      </c>
      <c r="E144" s="102"/>
      <c r="F144" s="103"/>
      <c r="G144" s="242">
        <f>G141 + G142 * G143</f>
        <v>0.108402</v>
      </c>
      <c r="H144" s="104"/>
      <c r="J144" s="211">
        <v>3.3099999999999997E-2</v>
      </c>
      <c r="K144" s="10">
        <v>1000</v>
      </c>
      <c r="L144" s="98">
        <f t="shared" si="8"/>
        <v>0.11764705882352941</v>
      </c>
      <c r="M144" s="99">
        <f t="shared" si="9"/>
        <v>3.8941176470588231E-3</v>
      </c>
      <c r="Q144" s="100"/>
      <c r="U144" s="418"/>
      <c r="V144" s="419"/>
      <c r="W144" s="419"/>
      <c r="X144" s="419"/>
      <c r="Y144" s="419"/>
      <c r="Z144" s="420"/>
    </row>
    <row r="145" spans="4:26" x14ac:dyDescent="0.25">
      <c r="H145" s="95"/>
      <c r="J145" s="211">
        <v>1.6400000000000001E-2</v>
      </c>
      <c r="K145" s="10">
        <v>1250</v>
      </c>
      <c r="L145" s="98">
        <f t="shared" si="8"/>
        <v>0.14705882352941177</v>
      </c>
      <c r="M145" s="99">
        <f t="shared" si="9"/>
        <v>2.4117647058823533E-3</v>
      </c>
      <c r="Q145" s="100"/>
      <c r="U145" s="418"/>
      <c r="V145" s="419"/>
      <c r="W145" s="419"/>
      <c r="X145" s="419"/>
      <c r="Y145" s="419"/>
      <c r="Z145" s="420"/>
    </row>
    <row r="146" spans="4:26" x14ac:dyDescent="0.25">
      <c r="D146" s="1" t="s">
        <v>93</v>
      </c>
      <c r="G146" s="198">
        <f>M151</f>
        <v>2.9497058823529411E-2</v>
      </c>
      <c r="H146" s="95"/>
      <c r="J146" s="211">
        <v>2.93E-2</v>
      </c>
      <c r="K146" s="10">
        <v>1500</v>
      </c>
      <c r="L146" s="98">
        <f t="shared" si="8"/>
        <v>0.17647058823529413</v>
      </c>
      <c r="M146" s="99">
        <f t="shared" si="9"/>
        <v>5.1705882352941178E-3</v>
      </c>
      <c r="Q146" s="100"/>
      <c r="U146" s="418"/>
      <c r="V146" s="419"/>
      <c r="W146" s="419"/>
      <c r="X146" s="419"/>
      <c r="Y146" s="419"/>
      <c r="Z146" s="420"/>
    </row>
    <row r="147" spans="4:26" x14ac:dyDescent="0.25">
      <c r="D147" s="1" t="s">
        <v>94</v>
      </c>
      <c r="G147" s="105">
        <f>M42</f>
        <v>0.13878117946640431</v>
      </c>
      <c r="H147" s="106"/>
      <c r="J147" s="211">
        <v>2.0899999999999998E-2</v>
      </c>
      <c r="K147" s="10">
        <v>1250</v>
      </c>
      <c r="L147" s="98">
        <f t="shared" si="8"/>
        <v>0.14705882352941177</v>
      </c>
      <c r="M147" s="99">
        <f t="shared" si="9"/>
        <v>3.0735294117647059E-3</v>
      </c>
      <c r="Q147" s="100"/>
      <c r="R147" s="100"/>
      <c r="S147" s="100"/>
      <c r="T147" s="100"/>
      <c r="U147" s="418"/>
      <c r="V147" s="419"/>
      <c r="W147" s="419"/>
      <c r="X147" s="419"/>
      <c r="Y147" s="419"/>
      <c r="Z147" s="420"/>
    </row>
    <row r="148" spans="4:26" ht="15.75" thickBot="1" x14ac:dyDescent="0.3">
      <c r="D148" s="101" t="s">
        <v>95</v>
      </c>
      <c r="E148" s="102"/>
      <c r="F148" s="102"/>
      <c r="G148" s="239">
        <f>G146*(1-G147)</f>
        <v>2.5403422209210089E-2</v>
      </c>
      <c r="H148" s="104"/>
      <c r="J148" s="211">
        <v>3.5400000000000001E-2</v>
      </c>
      <c r="K148" s="10">
        <v>1000</v>
      </c>
      <c r="L148" s="98">
        <f t="shared" si="8"/>
        <v>0.11764705882352941</v>
      </c>
      <c r="M148" s="99">
        <f t="shared" si="9"/>
        <v>4.164705882352941E-3</v>
      </c>
      <c r="Q148" s="100"/>
      <c r="R148" s="100"/>
      <c r="S148" s="100"/>
      <c r="T148" s="100"/>
      <c r="U148" s="421"/>
      <c r="V148" s="422"/>
      <c r="W148" s="422"/>
      <c r="X148" s="422"/>
      <c r="Y148" s="422"/>
      <c r="Z148" s="423"/>
    </row>
    <row r="149" spans="4:26" ht="15" customHeight="1" x14ac:dyDescent="0.25">
      <c r="H149" s="95"/>
      <c r="J149" s="211">
        <v>3.6499999999999998E-2</v>
      </c>
      <c r="K149" s="10">
        <v>2000</v>
      </c>
      <c r="L149" s="98">
        <f t="shared" si="8"/>
        <v>0.23529411764705882</v>
      </c>
      <c r="M149" s="99">
        <f t="shared" si="9"/>
        <v>8.5882352941176465E-3</v>
      </c>
      <c r="Q149" s="100"/>
      <c r="R149" s="100"/>
      <c r="S149" s="100"/>
      <c r="T149" s="100"/>
      <c r="U149" s="100"/>
    </row>
    <row r="150" spans="4:26" x14ac:dyDescent="0.25">
      <c r="D150" s="107" t="s">
        <v>96</v>
      </c>
      <c r="H150" s="95"/>
      <c r="J150" s="211">
        <v>3.73E-2</v>
      </c>
      <c r="K150" s="10">
        <v>500</v>
      </c>
      <c r="L150" s="98">
        <f t="shared" si="8"/>
        <v>5.8823529411764705E-2</v>
      </c>
      <c r="M150" s="99">
        <f t="shared" si="9"/>
        <v>2.1941176470588234E-3</v>
      </c>
      <c r="Q150" s="100"/>
      <c r="R150" s="100"/>
      <c r="S150" s="100"/>
      <c r="T150" s="100"/>
      <c r="U150" s="207" t="s">
        <v>192</v>
      </c>
    </row>
    <row r="151" spans="4:26" x14ac:dyDescent="0.25">
      <c r="D151" s="12" t="s">
        <v>97</v>
      </c>
      <c r="F151" s="199">
        <f>K152</f>
        <v>8463</v>
      </c>
      <c r="G151" s="240">
        <f>F151/F153</f>
        <v>2.0296935313861416E-3</v>
      </c>
      <c r="H151" s="95"/>
      <c r="J151" s="135" t="s">
        <v>217</v>
      </c>
      <c r="K151" s="10">
        <v>-37</v>
      </c>
      <c r="L151" s="108">
        <f>SUM(L142:L150)</f>
        <v>1</v>
      </c>
      <c r="M151" s="260">
        <f>SUM(M142:M150)</f>
        <v>2.9497058823529411E-2</v>
      </c>
      <c r="Q151" s="100"/>
      <c r="R151" s="100"/>
      <c r="S151" s="100"/>
      <c r="T151" s="100"/>
      <c r="U151" s="100"/>
    </row>
    <row r="152" spans="4:26" x14ac:dyDescent="0.25">
      <c r="D152" s="12" t="s">
        <v>98</v>
      </c>
      <c r="F152" s="199">
        <f>$G$204</f>
        <v>4161132</v>
      </c>
      <c r="G152" s="240">
        <f>F152/F153</f>
        <v>0.99797030646861384</v>
      </c>
      <c r="H152" s="95"/>
      <c r="K152" s="120">
        <f>SUM(K142:K151)</f>
        <v>8463</v>
      </c>
      <c r="Q152" s="100"/>
      <c r="R152" s="100"/>
      <c r="S152" s="100"/>
      <c r="T152" s="100"/>
      <c r="U152" s="100"/>
    </row>
    <row r="153" spans="4:26" x14ac:dyDescent="0.25">
      <c r="D153" s="109" t="s">
        <v>99</v>
      </c>
      <c r="E153" s="102"/>
      <c r="F153" s="213">
        <f>SUM(F151:F152)</f>
        <v>4169595</v>
      </c>
      <c r="G153" s="239">
        <f>SUM(G151:G152)</f>
        <v>1</v>
      </c>
      <c r="H153" s="95"/>
      <c r="J153" s="135" t="s">
        <v>218</v>
      </c>
      <c r="K153" s="120">
        <f>-1250</f>
        <v>-1250</v>
      </c>
      <c r="Q153" s="100"/>
      <c r="R153" s="100"/>
      <c r="S153" s="100"/>
      <c r="T153" s="100"/>
      <c r="U153" s="100"/>
    </row>
    <row r="154" spans="4:26" ht="14.25" customHeight="1" x14ac:dyDescent="0.25">
      <c r="G154" s="209"/>
      <c r="H154" s="110"/>
      <c r="J154" s="135" t="s">
        <v>219</v>
      </c>
      <c r="K154" s="120">
        <f>SUM(K152:K153)</f>
        <v>7213</v>
      </c>
      <c r="Q154" s="100"/>
      <c r="R154" s="100"/>
      <c r="S154" s="100"/>
      <c r="T154" s="100"/>
      <c r="U154" s="100"/>
    </row>
    <row r="155" spans="4:26" ht="15.75" thickBot="1" x14ac:dyDescent="0.3">
      <c r="D155" s="164" t="s">
        <v>83</v>
      </c>
      <c r="E155" s="164"/>
      <c r="F155" s="164"/>
      <c r="G155" s="241">
        <f>G144*G152+G148*G151</f>
        <v>0.10823353832354378</v>
      </c>
      <c r="H155" s="164"/>
      <c r="Q155" s="100"/>
      <c r="R155" s="100"/>
      <c r="S155" s="100"/>
      <c r="T155" s="100"/>
      <c r="U155" s="100"/>
    </row>
    <row r="156" spans="4:26" ht="15.75" thickTop="1" x14ac:dyDescent="0.25">
      <c r="D156" s="111" t="s">
        <v>276</v>
      </c>
      <c r="Q156" s="100"/>
      <c r="R156" s="100"/>
      <c r="S156" s="100"/>
      <c r="T156" s="100"/>
      <c r="U156" s="100"/>
    </row>
    <row r="157" spans="4:26" x14ac:dyDescent="0.25">
      <c r="D157" s="111" t="s">
        <v>277</v>
      </c>
    </row>
    <row r="158" spans="4:26" x14ac:dyDescent="0.25">
      <c r="D158" s="111" t="s">
        <v>278</v>
      </c>
    </row>
    <row r="159" spans="4:26" x14ac:dyDescent="0.25">
      <c r="D159" s="111"/>
    </row>
    <row r="162" spans="2:26" ht="15.75" thickBot="1" x14ac:dyDescent="0.3">
      <c r="B162" s="196" t="s">
        <v>280</v>
      </c>
      <c r="D162" s="301" t="s">
        <v>100</v>
      </c>
      <c r="E162" s="301"/>
      <c r="F162" s="301"/>
      <c r="G162" s="301"/>
      <c r="H162" s="347"/>
      <c r="I162" s="348" t="s">
        <v>3</v>
      </c>
      <c r="J162" s="348"/>
      <c r="K162" s="348"/>
      <c r="L162" s="348"/>
      <c r="M162" s="348"/>
    </row>
    <row r="163" spans="2:26" x14ac:dyDescent="0.25">
      <c r="D163" s="6" t="s">
        <v>101</v>
      </c>
      <c r="E163" s="7"/>
      <c r="F163" s="7"/>
      <c r="G163" s="7"/>
      <c r="H163" s="112" t="s">
        <v>6</v>
      </c>
      <c r="I163" s="287">
        <f>$M$10</f>
        <v>2027</v>
      </c>
      <c r="J163" s="287">
        <f>$N$10</f>
        <v>2028</v>
      </c>
      <c r="K163" s="287">
        <f>$O$10</f>
        <v>2029</v>
      </c>
      <c r="L163" s="287">
        <f>$P$10</f>
        <v>2030</v>
      </c>
      <c r="M163" s="287">
        <f>$Q$10</f>
        <v>2031</v>
      </c>
      <c r="U163" s="415" t="s">
        <v>283</v>
      </c>
      <c r="V163" s="416"/>
      <c r="W163" s="416"/>
      <c r="X163" s="416"/>
      <c r="Y163" s="416"/>
      <c r="Z163" s="417"/>
    </row>
    <row r="164" spans="2:26" ht="6.2" customHeight="1" x14ac:dyDescent="0.25">
      <c r="D164" s="111"/>
      <c r="U164" s="418"/>
      <c r="V164" s="419"/>
      <c r="W164" s="419"/>
      <c r="X164" s="419"/>
      <c r="Y164" s="419"/>
      <c r="Z164" s="420"/>
    </row>
    <row r="165" spans="2:26" x14ac:dyDescent="0.25">
      <c r="D165" s="113" t="s">
        <v>15</v>
      </c>
      <c r="H165" s="8" t="s">
        <v>61</v>
      </c>
      <c r="I165" s="83">
        <f>M28</f>
        <v>216189.258837045</v>
      </c>
      <c r="J165" s="83">
        <f>N28</f>
        <v>325320.39065556758</v>
      </c>
      <c r="K165" s="83">
        <f>O28</f>
        <v>456899.65027779451</v>
      </c>
      <c r="L165" s="83">
        <f>P28</f>
        <v>595855.97972913296</v>
      </c>
      <c r="M165" s="83">
        <f>Q28</f>
        <v>717290.89691655943</v>
      </c>
      <c r="U165" s="418"/>
      <c r="V165" s="419"/>
      <c r="W165" s="419"/>
      <c r="X165" s="419"/>
      <c r="Y165" s="419"/>
      <c r="Z165" s="420"/>
    </row>
    <row r="166" spans="2:26" x14ac:dyDescent="0.25">
      <c r="D166" s="114" t="str">
        <f>"Taxes @ "&amp;TEXT(M42,"0.0%")</f>
        <v>Taxes @ 13.9%</v>
      </c>
      <c r="G166" s="113"/>
      <c r="H166" s="8" t="s">
        <v>61</v>
      </c>
      <c r="I166" s="83">
        <f xml:space="preserve"> - I165 * $M$42</f>
        <v>-30003.000329372877</v>
      </c>
      <c r="J166" s="83">
        <f t="shared" ref="J166:M166" si="10" xml:space="preserve"> - J165 * $M$42</f>
        <v>-45148.347519651084</v>
      </c>
      <c r="K166" s="83">
        <f t="shared" si="10"/>
        <v>-63409.072363339968</v>
      </c>
      <c r="L166" s="83">
        <f t="shared" si="10"/>
        <v>-82693.595658918974</v>
      </c>
      <c r="M166" s="83">
        <f t="shared" si="10"/>
        <v>-99546.476694595141</v>
      </c>
      <c r="U166" s="418"/>
      <c r="V166" s="419"/>
      <c r="W166" s="419"/>
      <c r="X166" s="419"/>
      <c r="Y166" s="419"/>
      <c r="Z166" s="420"/>
    </row>
    <row r="167" spans="2:26" x14ac:dyDescent="0.25">
      <c r="D167" s="115" t="s">
        <v>102</v>
      </c>
      <c r="H167" s="8" t="s">
        <v>61</v>
      </c>
      <c r="I167" s="116">
        <f>SUM(I165:I166)</f>
        <v>186186.25850767212</v>
      </c>
      <c r="J167" s="116">
        <f t="shared" ref="J167:M167" si="11">SUM(J165:J166)</f>
        <v>280172.04313591646</v>
      </c>
      <c r="K167" s="116">
        <f t="shared" si="11"/>
        <v>393490.57791445457</v>
      </c>
      <c r="L167" s="116">
        <f t="shared" si="11"/>
        <v>513162.384070214</v>
      </c>
      <c r="M167" s="116">
        <f t="shared" si="11"/>
        <v>617744.42022196425</v>
      </c>
      <c r="U167" s="418"/>
      <c r="V167" s="419"/>
      <c r="W167" s="419"/>
      <c r="X167" s="419"/>
      <c r="Y167" s="419"/>
      <c r="Z167" s="420"/>
    </row>
    <row r="168" spans="2:26" x14ac:dyDescent="0.25">
      <c r="D168" s="117" t="s">
        <v>103</v>
      </c>
      <c r="G168" s="118"/>
      <c r="H168" s="8" t="s">
        <v>61</v>
      </c>
      <c r="I168" s="83">
        <f>M29</f>
        <v>4548.8000000000011</v>
      </c>
      <c r="J168" s="83">
        <f>N29</f>
        <v>6823.2000000000007</v>
      </c>
      <c r="K168" s="83">
        <f>O29</f>
        <v>9552.4800000000014</v>
      </c>
      <c r="L168" s="83">
        <f>P29</f>
        <v>12418.224000000002</v>
      </c>
      <c r="M168" s="83">
        <f>Q29</f>
        <v>14901.868800000002</v>
      </c>
      <c r="U168" s="418"/>
      <c r="V168" s="419"/>
      <c r="W168" s="419"/>
      <c r="X168" s="419"/>
      <c r="Y168" s="419"/>
      <c r="Z168" s="420"/>
    </row>
    <row r="169" spans="2:26" x14ac:dyDescent="0.25">
      <c r="D169" s="117" t="s">
        <v>104</v>
      </c>
      <c r="G169" s="113"/>
      <c r="H169" s="8" t="s">
        <v>61</v>
      </c>
      <c r="I169" s="83">
        <f>SUM(M102:M107)</f>
        <v>-19849.947480432173</v>
      </c>
      <c r="J169" s="83">
        <f>SUM(N102:N107)</f>
        <v>-19296.926896710687</v>
      </c>
      <c r="K169" s="83">
        <f>SUM(O102:O107)</f>
        <v>-23118.784169949566</v>
      </c>
      <c r="L169" s="83">
        <f>SUM(P102:P107)</f>
        <v>-24226.562308947916</v>
      </c>
      <c r="M169" s="83">
        <f>SUM(Q102:Q107)</f>
        <v>-20935.641864992274</v>
      </c>
      <c r="U169" s="418"/>
      <c r="V169" s="419"/>
      <c r="W169" s="419"/>
      <c r="X169" s="419"/>
      <c r="Y169" s="419"/>
      <c r="Z169" s="420"/>
    </row>
    <row r="170" spans="2:26" ht="15.75" thickBot="1" x14ac:dyDescent="0.3">
      <c r="D170" s="117" t="s">
        <v>105</v>
      </c>
      <c r="G170" s="113"/>
      <c r="H170" s="8" t="s">
        <v>61</v>
      </c>
      <c r="I170" s="83">
        <f xml:space="preserve"> M110</f>
        <v>-8099.0899249619615</v>
      </c>
      <c r="J170" s="83">
        <f xml:space="preserve"> N110</f>
        <v>-12148.634887442942</v>
      </c>
      <c r="K170" s="83">
        <f xml:space="preserve"> O110</f>
        <v>-17008.088842420118</v>
      </c>
      <c r="L170" s="83">
        <f xml:space="preserve"> P110</f>
        <v>-22110.515495146155</v>
      </c>
      <c r="M170" s="83">
        <f xml:space="preserve"> Q110</f>
        <v>-26532.618594175387</v>
      </c>
      <c r="U170" s="421"/>
      <c r="V170" s="422"/>
      <c r="W170" s="422"/>
      <c r="X170" s="422"/>
      <c r="Y170" s="422"/>
      <c r="Z170" s="423"/>
    </row>
    <row r="171" spans="2:26" ht="15.75" thickBot="1" x14ac:dyDescent="0.3">
      <c r="D171" s="119" t="s">
        <v>106</v>
      </c>
      <c r="E171" s="119"/>
      <c r="F171" s="119"/>
      <c r="G171" s="119"/>
      <c r="H171" s="58" t="s">
        <v>61</v>
      </c>
      <c r="I171" s="89">
        <f>SUM(I167:I170)</f>
        <v>162786.02110227797</v>
      </c>
      <c r="J171" s="89">
        <f>SUM(J167:J170)</f>
        <v>255549.68135176282</v>
      </c>
      <c r="K171" s="89">
        <f>SUM(K167:K170)</f>
        <v>362916.18490208482</v>
      </c>
      <c r="L171" s="89">
        <f>SUM(L167:L170)</f>
        <v>479243.53026611998</v>
      </c>
      <c r="M171" s="89">
        <f>SUM(M167:M170)</f>
        <v>585178.02856279653</v>
      </c>
      <c r="U171" s="207" t="s">
        <v>193</v>
      </c>
    </row>
    <row r="172" spans="2:26" ht="6.2" customHeight="1" thickTop="1" x14ac:dyDescent="0.25">
      <c r="D172" s="118"/>
      <c r="G172" s="118"/>
    </row>
    <row r="173" spans="2:26" x14ac:dyDescent="0.25">
      <c r="D173" s="118" t="s">
        <v>107</v>
      </c>
      <c r="G173" s="118"/>
      <c r="H173" s="8" t="s">
        <v>22</v>
      </c>
      <c r="I173" s="108">
        <f>$G$155</f>
        <v>0.10823353832354378</v>
      </c>
      <c r="J173" s="108">
        <f t="shared" ref="J173:M173" si="12">$G$155</f>
        <v>0.10823353832354378</v>
      </c>
      <c r="K173" s="108">
        <f t="shared" si="12"/>
        <v>0.10823353832354378</v>
      </c>
      <c r="L173" s="108">
        <f t="shared" si="12"/>
        <v>0.10823353832354378</v>
      </c>
      <c r="M173" s="108">
        <f t="shared" si="12"/>
        <v>0.10823353832354378</v>
      </c>
    </row>
    <row r="174" spans="2:26" x14ac:dyDescent="0.25">
      <c r="D174" s="118" t="s">
        <v>108</v>
      </c>
      <c r="G174" s="118"/>
      <c r="H174" s="8" t="s">
        <v>109</v>
      </c>
      <c r="I174" s="120">
        <v>1</v>
      </c>
      <c r="J174" s="120">
        <f>I174+1</f>
        <v>2</v>
      </c>
      <c r="K174" s="120">
        <f t="shared" ref="K174:M174" si="13">J174+1</f>
        <v>3</v>
      </c>
      <c r="L174" s="120">
        <f t="shared" si="13"/>
        <v>4</v>
      </c>
      <c r="M174" s="120">
        <f t="shared" si="13"/>
        <v>5</v>
      </c>
    </row>
    <row r="175" spans="2:26" x14ac:dyDescent="0.25">
      <c r="D175" s="118" t="s">
        <v>110</v>
      </c>
      <c r="G175" s="118"/>
      <c r="H175" s="8" t="s">
        <v>109</v>
      </c>
      <c r="I175" s="243">
        <f>1 / (1 + I173)^I174</f>
        <v>0.90233688606169449</v>
      </c>
      <c r="J175" s="243">
        <f>1 / (1 + J173)^J174</f>
        <v>0.81421185594751533</v>
      </c>
      <c r="K175" s="243">
        <f t="shared" ref="K175:M175" si="14">1 / (1 + K173)^K174</f>
        <v>0.7346933906901939</v>
      </c>
      <c r="L175" s="243">
        <f t="shared" si="14"/>
        <v>0.6629409463654975</v>
      </c>
      <c r="M175" s="243">
        <f t="shared" si="14"/>
        <v>0.59819606918623591</v>
      </c>
    </row>
    <row r="176" spans="2:26" ht="6.2" customHeight="1" x14ac:dyDescent="0.25">
      <c r="D176" s="118"/>
      <c r="E176" s="118"/>
      <c r="F176" s="118"/>
    </row>
    <row r="177" spans="4:17" ht="15.75" thickBot="1" x14ac:dyDescent="0.3">
      <c r="D177" s="121" t="s">
        <v>111</v>
      </c>
      <c r="E177" s="122"/>
      <c r="F177" s="119"/>
      <c r="G177" s="119"/>
      <c r="H177" s="58" t="s">
        <v>61</v>
      </c>
      <c r="I177" s="212">
        <f>I175*I171</f>
        <v>146887.83137580278</v>
      </c>
      <c r="J177" s="212">
        <f t="shared" ref="J177:M177" si="15">J175*J171</f>
        <v>208071.58034021495</v>
      </c>
      <c r="K177" s="212">
        <f t="shared" si="15"/>
        <v>266632.12242206204</v>
      </c>
      <c r="L177" s="212">
        <f t="shared" si="15"/>
        <v>317710.15949416353</v>
      </c>
      <c r="M177" s="212">
        <f t="shared" si="15"/>
        <v>350051.19646041578</v>
      </c>
    </row>
    <row r="178" spans="4:17" ht="15.75" thickTop="1" x14ac:dyDescent="0.25">
      <c r="D178" s="118"/>
      <c r="E178" s="118"/>
      <c r="F178" s="118"/>
    </row>
    <row r="179" spans="4:17" x14ac:dyDescent="0.25">
      <c r="D179" s="123" t="s">
        <v>112</v>
      </c>
      <c r="E179" s="124"/>
      <c r="F179" s="124"/>
      <c r="J179" s="125" t="s">
        <v>113</v>
      </c>
    </row>
    <row r="180" spans="4:17" x14ac:dyDescent="0.25">
      <c r="D180" s="118"/>
      <c r="E180" s="118"/>
      <c r="F180" s="118"/>
      <c r="J180" s="126" t="str">
        <f>"FY"&amp;TEXT(M163,"0")&amp;"E Unlevered Free Cash Flow"</f>
        <v>FY2031E Unlevered Free Cash Flow</v>
      </c>
      <c r="K180" s="127"/>
      <c r="L180" s="127"/>
      <c r="M180" s="26">
        <f>M171</f>
        <v>585178.02856279653</v>
      </c>
    </row>
    <row r="181" spans="4:17" x14ac:dyDescent="0.25">
      <c r="D181" s="113" t="str">
        <f>"NPV of UFCF "&amp;TEXT(I163,"0")&amp;" - "&amp;TEXT(M163,"0")</f>
        <v>NPV of UFCF 2027 - 2031</v>
      </c>
      <c r="E181" s="118"/>
      <c r="F181" s="235">
        <f>SUM(I177:M177)</f>
        <v>1289352.890092659</v>
      </c>
      <c r="J181" s="128" t="s">
        <v>114</v>
      </c>
      <c r="K181" s="129"/>
      <c r="L181" s="129"/>
      <c r="M181" s="94">
        <v>0.02</v>
      </c>
    </row>
    <row r="182" spans="4:17" x14ac:dyDescent="0.25">
      <c r="D182" s="113" t="s">
        <v>115</v>
      </c>
      <c r="E182" s="118"/>
      <c r="F182" s="236">
        <f>M182*M175</f>
        <v>4046672.3558149561</v>
      </c>
      <c r="J182" s="128" t="s">
        <v>116</v>
      </c>
      <c r="K182" s="129"/>
      <c r="L182" s="129"/>
      <c r="M182" s="26">
        <f>(M180 * (1 + M181)) / (G155 - M181)</f>
        <v>6764792.6227932284</v>
      </c>
    </row>
    <row r="183" spans="4:17" x14ac:dyDescent="0.25">
      <c r="D183" s="130" t="s">
        <v>117</v>
      </c>
      <c r="E183" s="131"/>
      <c r="F183" s="238">
        <f>SUM(F181:F182)</f>
        <v>5336025.2459076149</v>
      </c>
      <c r="J183" s="128" t="s">
        <v>118</v>
      </c>
      <c r="K183" s="129"/>
      <c r="L183" s="129"/>
      <c r="M183" s="132">
        <f>IFERROR(F182/(Q30*M175),0)</f>
        <v>9.2390869447786361</v>
      </c>
    </row>
    <row r="184" spans="4:17" x14ac:dyDescent="0.25">
      <c r="D184" s="1" t="s">
        <v>119</v>
      </c>
      <c r="F184" s="235">
        <f>-K152</f>
        <v>-8463</v>
      </c>
    </row>
    <row r="185" spans="4:17" x14ac:dyDescent="0.25">
      <c r="D185" s="1" t="s">
        <v>120</v>
      </c>
      <c r="F185" s="235">
        <f>L52</f>
        <v>10605</v>
      </c>
      <c r="H185" s="301" t="s">
        <v>121</v>
      </c>
      <c r="I185" s="301"/>
      <c r="J185" s="301"/>
      <c r="K185" s="301"/>
      <c r="L185" s="301"/>
      <c r="M185" s="301"/>
      <c r="N185" s="301"/>
      <c r="O185" s="133"/>
      <c r="Q185" s="134" t="s">
        <v>122</v>
      </c>
    </row>
    <row r="186" spans="4:17" x14ac:dyDescent="0.25">
      <c r="D186" s="1" t="s">
        <v>199</v>
      </c>
      <c r="F186" s="236">
        <f>L53</f>
        <v>51951</v>
      </c>
      <c r="H186" s="349"/>
      <c r="I186" s="350"/>
      <c r="J186" s="351" t="s">
        <v>123</v>
      </c>
      <c r="K186" s="352"/>
      <c r="L186" s="352"/>
      <c r="M186" s="352"/>
      <c r="N186" s="352"/>
      <c r="O186" s="133"/>
      <c r="P186" s="135" t="s">
        <v>124</v>
      </c>
      <c r="Q186" s="136">
        <v>2.5000000000000001E-3</v>
      </c>
    </row>
    <row r="187" spans="4:17" ht="15.75" thickBot="1" x14ac:dyDescent="0.3">
      <c r="D187" s="137" t="s">
        <v>125</v>
      </c>
      <c r="E187" s="20"/>
      <c r="F187" s="238">
        <f>SUM(F183:F186)</f>
        <v>5390118.2459076149</v>
      </c>
      <c r="H187" s="349"/>
      <c r="I187" s="200">
        <f>F189</f>
        <v>221.81556567521048</v>
      </c>
      <c r="J187" s="138">
        <f>K187-$Q$186</f>
        <v>1.5000000000000001E-2</v>
      </c>
      <c r="K187" s="139">
        <f>L187-$Q$186</f>
        <v>1.7500000000000002E-2</v>
      </c>
      <c r="L187" s="245">
        <v>0.02</v>
      </c>
      <c r="M187" s="139">
        <f>L187+$Q$186</f>
        <v>2.2499999999999999E-2</v>
      </c>
      <c r="N187" s="139">
        <f>M187+$Q$186</f>
        <v>2.4999999999999998E-2</v>
      </c>
      <c r="O187" s="133"/>
      <c r="Q187" s="134"/>
    </row>
    <row r="188" spans="4:17" ht="14.45" customHeight="1" x14ac:dyDescent="0.25">
      <c r="D188" s="1" t="s">
        <v>126</v>
      </c>
      <c r="F188" s="120">
        <f>G203</f>
        <v>24300</v>
      </c>
      <c r="H188" s="429" t="s">
        <v>127</v>
      </c>
      <c r="I188" s="138">
        <f t="shared" ref="I188:I189" si="16">I189-$Q$188</f>
        <v>0.10323353832354377</v>
      </c>
      <c r="J188" s="140">
        <f t="dataTable" ref="J188:N192" dt2D="1" dtr="1" r1="M181" r2="G155"/>
        <v>225.6117059655322</v>
      </c>
      <c r="K188" s="141">
        <v>230.98409531341014</v>
      </c>
      <c r="L188" s="143">
        <v>236.67921450409472</v>
      </c>
      <c r="M188" s="141">
        <v>242.72704455751014</v>
      </c>
      <c r="N188" s="141">
        <v>249.16139874002761</v>
      </c>
      <c r="O188" s="133"/>
      <c r="P188" s="135" t="s">
        <v>127</v>
      </c>
      <c r="Q188" s="136">
        <v>2.5000000000000001E-3</v>
      </c>
    </row>
    <row r="189" spans="4:17" x14ac:dyDescent="0.25">
      <c r="D189" s="137" t="s">
        <v>121</v>
      </c>
      <c r="E189" s="20"/>
      <c r="F189" s="244">
        <f>F187/F188</f>
        <v>221.81556567521048</v>
      </c>
      <c r="H189" s="429"/>
      <c r="I189" s="139">
        <f t="shared" si="16"/>
        <v>0.10573353832354378</v>
      </c>
      <c r="J189" s="142">
        <v>218.67254395601611</v>
      </c>
      <c r="K189" s="353">
        <v>223.70312643234541</v>
      </c>
      <c r="L189" s="353">
        <v>229.02709365487192</v>
      </c>
      <c r="M189" s="353">
        <v>234.67088190926614</v>
      </c>
      <c r="N189" s="143">
        <v>240.66420199216608</v>
      </c>
      <c r="O189" s="133"/>
      <c r="P189" s="133"/>
      <c r="Q189" s="133"/>
    </row>
    <row r="190" spans="4:17" x14ac:dyDescent="0.25">
      <c r="H190" s="429"/>
      <c r="I190" s="246">
        <v>0.10823353832354378</v>
      </c>
      <c r="J190" s="143">
        <v>212.11223740614116</v>
      </c>
      <c r="K190" s="353">
        <v>216.83022263251857</v>
      </c>
      <c r="L190" s="353">
        <v>221.81556567521048</v>
      </c>
      <c r="M190" s="353">
        <v>227.09165508975272</v>
      </c>
      <c r="N190" s="143">
        <v>232.68468942342315</v>
      </c>
      <c r="O190" s="133"/>
      <c r="P190" s="144"/>
      <c r="Q190" s="133"/>
    </row>
    <row r="191" spans="4:17" x14ac:dyDescent="0.25">
      <c r="H191" s="429"/>
      <c r="I191" s="139">
        <f>I190+$Q$188</f>
        <v>0.11073353832354378</v>
      </c>
      <c r="J191" s="142">
        <v>205.901030028794</v>
      </c>
      <c r="K191" s="353">
        <v>210.33248078181066</v>
      </c>
      <c r="L191" s="353">
        <v>215.00813289823139</v>
      </c>
      <c r="M191" s="353">
        <v>219.9487439069996</v>
      </c>
      <c r="N191" s="143">
        <v>225.17749250494106</v>
      </c>
      <c r="O191" s="133"/>
      <c r="P191" s="133"/>
      <c r="Q191" s="133"/>
    </row>
    <row r="192" spans="4:17" x14ac:dyDescent="0.25">
      <c r="H192" s="429"/>
      <c r="I192" s="139">
        <f>I191+$Q$188</f>
        <v>0.11323353832354378</v>
      </c>
      <c r="J192" s="142">
        <v>200.01219571984063</v>
      </c>
      <c r="K192" s="143">
        <v>204.18043575957631</v>
      </c>
      <c r="L192" s="143">
        <v>208.5722133864661</v>
      </c>
      <c r="M192" s="143">
        <v>213.20600613301465</v>
      </c>
      <c r="N192" s="143">
        <v>218.10238569374937</v>
      </c>
      <c r="O192" s="133"/>
      <c r="P192" s="133"/>
      <c r="Q192" s="133"/>
    </row>
    <row r="193" spans="2:26" x14ac:dyDescent="0.25">
      <c r="I193" s="133"/>
      <c r="J193" s="133"/>
      <c r="K193" s="133"/>
      <c r="L193" s="133"/>
      <c r="M193" s="133"/>
      <c r="N193" s="133"/>
    </row>
    <row r="194" spans="2:26" x14ac:dyDescent="0.25">
      <c r="I194" s="133"/>
      <c r="J194" s="133"/>
      <c r="K194" s="133"/>
      <c r="L194" s="133"/>
      <c r="M194" s="133"/>
      <c r="N194" s="133"/>
    </row>
    <row r="195" spans="2:26" x14ac:dyDescent="0.25">
      <c r="I195" s="133"/>
      <c r="J195" s="133"/>
      <c r="K195" s="133"/>
      <c r="L195" s="133"/>
      <c r="M195" s="133"/>
      <c r="N195" s="133"/>
    </row>
    <row r="196" spans="2:26" x14ac:dyDescent="0.25">
      <c r="I196" s="133"/>
      <c r="J196" s="133"/>
      <c r="K196" s="133"/>
      <c r="L196" s="133"/>
      <c r="M196" s="133"/>
      <c r="N196" s="133"/>
    </row>
    <row r="197" spans="2:26" s="192" customFormat="1" ht="18" thickBot="1" x14ac:dyDescent="0.35">
      <c r="B197" s="191" t="s">
        <v>30</v>
      </c>
      <c r="D197" s="195" t="s">
        <v>128</v>
      </c>
      <c r="E197" s="193"/>
      <c r="F197" s="193"/>
      <c r="G197" s="194"/>
    </row>
    <row r="198" spans="2:26" ht="15" customHeight="1" x14ac:dyDescent="0.25">
      <c r="D198" s="190"/>
      <c r="E198" s="2"/>
      <c r="F198" s="2"/>
      <c r="G198" s="3"/>
    </row>
    <row r="199" spans="2:26" ht="15.75" thickBot="1" x14ac:dyDescent="0.3">
      <c r="D199" s="354" t="s">
        <v>129</v>
      </c>
      <c r="E199" s="355"/>
      <c r="F199" s="355"/>
      <c r="G199" s="355"/>
      <c r="I199" s="354" t="s">
        <v>130</v>
      </c>
      <c r="J199" s="355"/>
      <c r="K199" s="355"/>
      <c r="L199" s="355"/>
      <c r="M199" s="355"/>
    </row>
    <row r="200" spans="2:26" ht="14.45" customHeight="1" x14ac:dyDescent="0.25">
      <c r="D200" s="6" t="s">
        <v>279</v>
      </c>
      <c r="I200" s="145"/>
      <c r="J200" s="365">
        <f>$L$10</f>
        <v>2026</v>
      </c>
      <c r="K200" s="356">
        <f>$M$10</f>
        <v>2027</v>
      </c>
      <c r="L200" s="357">
        <f>$N$10</f>
        <v>2028</v>
      </c>
      <c r="M200" s="357">
        <f>$O$10</f>
        <v>2029</v>
      </c>
      <c r="P200" s="415" t="s">
        <v>179</v>
      </c>
      <c r="Q200" s="417"/>
      <c r="U200" s="415" t="s">
        <v>284</v>
      </c>
      <c r="V200" s="416"/>
      <c r="W200" s="416"/>
      <c r="X200" s="416"/>
      <c r="Y200" s="416"/>
      <c r="Z200" s="417"/>
    </row>
    <row r="201" spans="2:26" ht="6.2" customHeight="1" x14ac:dyDescent="0.25">
      <c r="D201" s="100"/>
      <c r="E201" s="146"/>
      <c r="F201" s="146"/>
      <c r="G201" s="146"/>
      <c r="H201" s="146"/>
      <c r="I201" s="146"/>
      <c r="P201" s="418"/>
      <c r="Q201" s="420"/>
      <c r="U201" s="418"/>
      <c r="V201" s="419"/>
      <c r="W201" s="419"/>
      <c r="X201" s="419"/>
      <c r="Y201" s="419"/>
      <c r="Z201" s="420"/>
    </row>
    <row r="202" spans="2:26" ht="14.45" customHeight="1" x14ac:dyDescent="0.25">
      <c r="D202" s="100" t="s">
        <v>131</v>
      </c>
      <c r="G202" s="263">
        <v>171.24</v>
      </c>
      <c r="H202" s="146"/>
      <c r="I202" s="146" t="s">
        <v>7</v>
      </c>
      <c r="J202" s="204">
        <f>L12</f>
        <v>215938</v>
      </c>
      <c r="K202" s="148">
        <f>M12</f>
        <v>345500.80000000005</v>
      </c>
      <c r="L202" s="148">
        <f>N12</f>
        <v>518251.20000000007</v>
      </c>
      <c r="M202" s="148">
        <f>O12</f>
        <v>725551.68</v>
      </c>
      <c r="P202" s="418"/>
      <c r="Q202" s="420"/>
      <c r="U202" s="418"/>
      <c r="V202" s="419"/>
      <c r="W202" s="419"/>
      <c r="X202" s="419"/>
      <c r="Y202" s="419"/>
      <c r="Z202" s="420"/>
    </row>
    <row r="203" spans="2:26" ht="14.45" customHeight="1" x14ac:dyDescent="0.25">
      <c r="D203" s="100" t="s">
        <v>132</v>
      </c>
      <c r="G203" s="264">
        <v>24300</v>
      </c>
      <c r="H203" s="146"/>
      <c r="I203" s="146" t="s">
        <v>231</v>
      </c>
      <c r="J203" s="204">
        <f>L30</f>
        <v>133230</v>
      </c>
      <c r="K203" s="148">
        <f>M30</f>
        <v>220738.05883704498</v>
      </c>
      <c r="L203" s="148">
        <f>N30</f>
        <v>332143.59065556759</v>
      </c>
      <c r="M203" s="148">
        <f>O30</f>
        <v>466452.13027779449</v>
      </c>
      <c r="P203" s="418"/>
      <c r="Q203" s="420"/>
      <c r="U203" s="418"/>
      <c r="V203" s="419"/>
      <c r="W203" s="419"/>
      <c r="X203" s="419"/>
      <c r="Y203" s="419"/>
      <c r="Z203" s="420"/>
    </row>
    <row r="204" spans="2:26" ht="14.45" customHeight="1" x14ac:dyDescent="0.25">
      <c r="D204" s="100" t="s">
        <v>133</v>
      </c>
      <c r="E204" s="100"/>
      <c r="F204" s="100"/>
      <c r="G204" s="147">
        <f>G202 * G203</f>
        <v>4161132</v>
      </c>
      <c r="H204" s="146"/>
      <c r="I204" s="135" t="s">
        <v>232</v>
      </c>
      <c r="J204" s="391">
        <f>$G$208/J202</f>
        <v>19.019528753623725</v>
      </c>
      <c r="K204" s="391">
        <f>$G$208/K202</f>
        <v>11.887205471014827</v>
      </c>
      <c r="L204" s="391">
        <f t="shared" ref="L204:M204" si="17">$G$208/L202</f>
        <v>7.924803647343218</v>
      </c>
      <c r="M204" s="391">
        <f t="shared" si="17"/>
        <v>5.6605740338165846</v>
      </c>
      <c r="P204" s="418"/>
      <c r="Q204" s="420"/>
      <c r="U204" s="418"/>
      <c r="V204" s="419"/>
      <c r="W204" s="419"/>
      <c r="X204" s="419"/>
      <c r="Y204" s="419"/>
      <c r="Z204" s="420"/>
    </row>
    <row r="205" spans="2:26" ht="14.45" customHeight="1" x14ac:dyDescent="0.25">
      <c r="D205" s="100" t="s">
        <v>134</v>
      </c>
      <c r="E205" s="100"/>
      <c r="F205" s="100"/>
      <c r="G205" s="148">
        <f>K152</f>
        <v>8463</v>
      </c>
      <c r="H205" s="146"/>
      <c r="I205" s="146" t="s">
        <v>233</v>
      </c>
      <c r="J205" s="391">
        <f t="shared" ref="J205:M205" si="18">$G$208/J203</f>
        <v>30.826683179464084</v>
      </c>
      <c r="K205" s="391">
        <f t="shared" si="18"/>
        <v>18.605939644653354</v>
      </c>
      <c r="L205" s="391">
        <f t="shared" si="18"/>
        <v>12.365251401942581</v>
      </c>
      <c r="M205" s="391">
        <f t="shared" si="18"/>
        <v>8.8048456281120693</v>
      </c>
      <c r="P205" s="418"/>
      <c r="Q205" s="420"/>
      <c r="U205" s="418"/>
      <c r="V205" s="419"/>
      <c r="W205" s="419"/>
      <c r="X205" s="419"/>
      <c r="Y205" s="419"/>
      <c r="Z205" s="420"/>
    </row>
    <row r="206" spans="2:26" ht="14.45" customHeight="1" x14ac:dyDescent="0.25">
      <c r="D206" s="100" t="s">
        <v>135</v>
      </c>
      <c r="E206" s="100"/>
      <c r="F206" s="100"/>
      <c r="G206" s="148">
        <f>L52</f>
        <v>10605</v>
      </c>
      <c r="H206" s="146"/>
      <c r="I206" s="156" t="str">
        <f>"LTM = FY"&amp;J200</f>
        <v>LTM = FY2026</v>
      </c>
      <c r="J206" s="146"/>
      <c r="K206" s="146"/>
      <c r="P206" s="418"/>
      <c r="Q206" s="420"/>
      <c r="U206" s="418"/>
      <c r="V206" s="419"/>
      <c r="W206" s="419"/>
      <c r="X206" s="419"/>
      <c r="Y206" s="419"/>
      <c r="Z206" s="420"/>
    </row>
    <row r="207" spans="2:26" ht="15" customHeight="1" thickBot="1" x14ac:dyDescent="0.3">
      <c r="D207" s="100" t="s">
        <v>198</v>
      </c>
      <c r="E207" s="100"/>
      <c r="F207" s="100"/>
      <c r="G207" s="148">
        <f>F186</f>
        <v>51951</v>
      </c>
      <c r="H207" s="146"/>
      <c r="I207" s="146"/>
      <c r="J207" s="146"/>
      <c r="K207" s="146"/>
      <c r="P207" s="421"/>
      <c r="Q207" s="423"/>
      <c r="U207" s="421"/>
      <c r="V207" s="422"/>
      <c r="W207" s="422"/>
      <c r="X207" s="422"/>
      <c r="Y207" s="422"/>
      <c r="Z207" s="423"/>
    </row>
    <row r="208" spans="2:26" x14ac:dyDescent="0.25">
      <c r="D208" s="149" t="s">
        <v>129</v>
      </c>
      <c r="E208" s="149"/>
      <c r="F208" s="149"/>
      <c r="G208" s="392">
        <f>G204+G205-G206-G207</f>
        <v>4107039</v>
      </c>
      <c r="H208" s="146"/>
      <c r="I208" s="146"/>
      <c r="J208" s="146"/>
      <c r="K208" s="146"/>
      <c r="U208" s="208" t="s">
        <v>194</v>
      </c>
    </row>
    <row r="209" spans="4:20" x14ac:dyDescent="0.25">
      <c r="H209" s="146"/>
    </row>
    <row r="210" spans="4:20" x14ac:dyDescent="0.25">
      <c r="D210" s="100"/>
      <c r="E210" s="100"/>
      <c r="F210" s="100"/>
      <c r="G210" s="146"/>
      <c r="H210" s="146"/>
      <c r="I210" s="146"/>
      <c r="J210" s="146"/>
      <c r="K210" s="146"/>
    </row>
    <row r="211" spans="4:20" x14ac:dyDescent="0.25">
      <c r="D211" s="358"/>
      <c r="E211" s="358"/>
      <c r="F211" s="358"/>
      <c r="G211" s="358"/>
      <c r="H211" s="358"/>
      <c r="I211" s="358" t="s">
        <v>136</v>
      </c>
      <c r="J211" s="358" t="s">
        <v>137</v>
      </c>
      <c r="K211" s="359" t="s">
        <v>138</v>
      </c>
      <c r="L211" s="359"/>
      <c r="M211" s="375"/>
      <c r="N211" s="360" t="s">
        <v>139</v>
      </c>
      <c r="O211" s="360"/>
      <c r="P211" s="360"/>
    </row>
    <row r="212" spans="4:20" x14ac:dyDescent="0.25">
      <c r="D212" s="361" t="s">
        <v>140</v>
      </c>
      <c r="E212" s="362"/>
      <c r="F212" s="362"/>
      <c r="G212" s="362"/>
      <c r="H212" s="362"/>
      <c r="I212" s="362" t="s">
        <v>141</v>
      </c>
      <c r="J212" s="362" t="s">
        <v>141</v>
      </c>
      <c r="K212" s="363" t="s">
        <v>142</v>
      </c>
      <c r="L212" s="364">
        <f>$M$10</f>
        <v>2027</v>
      </c>
      <c r="M212" s="376">
        <f>$N$10</f>
        <v>2028</v>
      </c>
      <c r="N212" s="363" t="s">
        <v>142</v>
      </c>
      <c r="O212" s="364">
        <f>$M$10</f>
        <v>2027</v>
      </c>
      <c r="P212" s="364">
        <f>$N$10</f>
        <v>2028</v>
      </c>
    </row>
    <row r="213" spans="4:20" x14ac:dyDescent="0.25">
      <c r="D213" s="150" t="s">
        <v>225</v>
      </c>
      <c r="E213" s="150"/>
      <c r="F213" s="150"/>
      <c r="G213" s="151"/>
      <c r="H213" s="151"/>
      <c r="I213" s="152">
        <v>161490</v>
      </c>
      <c r="J213" s="152">
        <v>158330</v>
      </c>
      <c r="K213" s="153">
        <v>6.14</v>
      </c>
      <c r="L213" s="205">
        <v>5.84</v>
      </c>
      <c r="M213" s="377">
        <v>5.45</v>
      </c>
      <c r="N213" s="374">
        <v>30.11</v>
      </c>
      <c r="O213" s="206">
        <v>28.4</v>
      </c>
      <c r="P213" s="374">
        <v>26.8</v>
      </c>
      <c r="T213" s="201"/>
    </row>
    <row r="214" spans="4:20" x14ac:dyDescent="0.25">
      <c r="D214" s="150" t="s">
        <v>220</v>
      </c>
      <c r="E214" s="150"/>
      <c r="F214" s="150"/>
      <c r="G214" s="151"/>
      <c r="H214" s="151"/>
      <c r="I214" s="152">
        <v>174150</v>
      </c>
      <c r="J214" s="152">
        <v>180160</v>
      </c>
      <c r="K214" s="153">
        <v>11.52</v>
      </c>
      <c r="L214" s="205">
        <v>11.04</v>
      </c>
      <c r="M214" s="377">
        <v>10.59</v>
      </c>
      <c r="N214" s="374">
        <v>23.89</v>
      </c>
      <c r="O214" s="206">
        <v>22</v>
      </c>
      <c r="P214" s="374">
        <v>20.149999999999999</v>
      </c>
      <c r="T214" s="201"/>
    </row>
    <row r="215" spans="4:20" x14ac:dyDescent="0.25">
      <c r="D215" s="150" t="s">
        <v>221</v>
      </c>
      <c r="E215" s="150"/>
      <c r="F215" s="150"/>
      <c r="G215" s="151"/>
      <c r="H215" s="151"/>
      <c r="I215" s="152">
        <v>30720</v>
      </c>
      <c r="J215" s="152">
        <v>36920</v>
      </c>
      <c r="K215" s="153">
        <v>7.76</v>
      </c>
      <c r="L215" s="205">
        <v>7.15</v>
      </c>
      <c r="M215" s="377">
        <v>7.08</v>
      </c>
      <c r="N215" s="374">
        <v>25.9</v>
      </c>
      <c r="O215" s="206">
        <v>21.29</v>
      </c>
      <c r="P215" s="374">
        <v>18.45</v>
      </c>
      <c r="T215" s="201"/>
    </row>
    <row r="216" spans="4:20" x14ac:dyDescent="0.25">
      <c r="D216" s="150" t="s">
        <v>222</v>
      </c>
      <c r="E216" s="150"/>
      <c r="F216" s="150"/>
      <c r="G216" s="151"/>
      <c r="H216" s="151"/>
      <c r="I216" s="152">
        <v>111020</v>
      </c>
      <c r="J216" s="152">
        <v>115870</v>
      </c>
      <c r="K216" s="153">
        <v>12.41</v>
      </c>
      <c r="L216" s="205">
        <v>11.74</v>
      </c>
      <c r="M216" s="377">
        <v>11.24</v>
      </c>
      <c r="N216" s="374">
        <v>28.16</v>
      </c>
      <c r="O216" s="206">
        <v>26.45</v>
      </c>
      <c r="P216" s="374">
        <v>24.1</v>
      </c>
      <c r="T216" s="201"/>
    </row>
    <row r="217" spans="4:20" x14ac:dyDescent="0.25">
      <c r="D217" s="150" t="s">
        <v>224</v>
      </c>
      <c r="E217" s="150"/>
      <c r="F217" s="150"/>
      <c r="G217" s="151"/>
      <c r="H217" s="151"/>
      <c r="I217" s="152">
        <v>819930</v>
      </c>
      <c r="J217" s="152">
        <v>777350</v>
      </c>
      <c r="K217" s="153">
        <v>8.8000000000000007</v>
      </c>
      <c r="L217" s="205">
        <v>7.58</v>
      </c>
      <c r="M217" s="377">
        <v>7.45</v>
      </c>
      <c r="N217" s="374">
        <v>12.25</v>
      </c>
      <c r="O217" s="206">
        <v>11.59</v>
      </c>
      <c r="P217" s="374">
        <v>11.02</v>
      </c>
      <c r="T217" s="201"/>
    </row>
    <row r="218" spans="4:20" x14ac:dyDescent="0.25">
      <c r="D218" s="150" t="s">
        <v>223</v>
      </c>
      <c r="E218" s="150"/>
      <c r="F218" s="150"/>
      <c r="G218" s="151"/>
      <c r="H218" s="151"/>
      <c r="I218" s="152">
        <v>17081</v>
      </c>
      <c r="J218" s="152">
        <v>171080</v>
      </c>
      <c r="K218" s="153">
        <v>4.2</v>
      </c>
      <c r="L218" s="205">
        <v>4.0209999999999999</v>
      </c>
      <c r="M218" s="377">
        <v>3.8</v>
      </c>
      <c r="N218" s="374">
        <v>12.77</v>
      </c>
      <c r="O218" s="206">
        <v>12.15</v>
      </c>
      <c r="P218" s="374">
        <v>11.75</v>
      </c>
      <c r="T218" s="201"/>
    </row>
    <row r="219" spans="4:20" x14ac:dyDescent="0.25">
      <c r="D219" s="150" t="s">
        <v>226</v>
      </c>
      <c r="E219" s="150"/>
      <c r="F219" s="150"/>
      <c r="G219" s="151"/>
      <c r="H219" s="151"/>
      <c r="I219" s="152">
        <v>927160</v>
      </c>
      <c r="J219" s="152">
        <v>985156</v>
      </c>
      <c r="K219" s="153">
        <v>19.11</v>
      </c>
      <c r="L219" s="205">
        <v>18.22</v>
      </c>
      <c r="M219" s="377">
        <v>17.63</v>
      </c>
      <c r="N219" s="374">
        <v>41.27</v>
      </c>
      <c r="O219" s="206">
        <v>39.9</v>
      </c>
      <c r="P219" s="374">
        <v>37.450000000000003</v>
      </c>
      <c r="T219" s="201"/>
    </row>
    <row r="220" spans="4:20" x14ac:dyDescent="0.25">
      <c r="D220" s="100"/>
      <c r="E220" s="100"/>
      <c r="F220" s="100"/>
      <c r="G220" s="146"/>
      <c r="H220" s="146"/>
      <c r="I220" s="146"/>
      <c r="J220" s="146"/>
      <c r="K220" s="154"/>
      <c r="L220" s="155"/>
      <c r="M220" s="155"/>
      <c r="N220" s="155"/>
      <c r="O220" s="155"/>
      <c r="P220" s="155"/>
      <c r="T220" s="202"/>
    </row>
    <row r="221" spans="4:20" x14ac:dyDescent="0.25">
      <c r="D221" s="156" t="s">
        <v>143</v>
      </c>
      <c r="E221" s="100"/>
      <c r="F221" s="100"/>
      <c r="J221" s="157" t="s">
        <v>144</v>
      </c>
      <c r="K221" s="391">
        <f>MAX(K213:K219)</f>
        <v>19.11</v>
      </c>
      <c r="L221" s="391">
        <f t="shared" ref="L221:P221" si="19">MAX(L213:L219)</f>
        <v>18.22</v>
      </c>
      <c r="M221" s="391">
        <f t="shared" si="19"/>
        <v>17.63</v>
      </c>
      <c r="N221" s="391">
        <f t="shared" si="19"/>
        <v>41.27</v>
      </c>
      <c r="O221" s="391">
        <f t="shared" si="19"/>
        <v>39.9</v>
      </c>
      <c r="P221" s="391">
        <f t="shared" si="19"/>
        <v>37.450000000000003</v>
      </c>
    </row>
    <row r="222" spans="4:20" x14ac:dyDescent="0.25">
      <c r="D222" s="156" t="s">
        <v>201</v>
      </c>
      <c r="E222" s="100"/>
      <c r="F222" s="100"/>
      <c r="J222" s="157" t="s">
        <v>145</v>
      </c>
      <c r="K222" s="391">
        <f>AVERAGE(K213:K219)</f>
        <v>9.9914285714285711</v>
      </c>
      <c r="L222" s="391">
        <f t="shared" ref="L222:P222" si="20">AVERAGE(L213:L219)</f>
        <v>9.3701428571428576</v>
      </c>
      <c r="M222" s="391">
        <f t="shared" si="20"/>
        <v>9.0342857142857138</v>
      </c>
      <c r="N222" s="391">
        <f t="shared" si="20"/>
        <v>24.907142857142862</v>
      </c>
      <c r="O222" s="391">
        <f t="shared" si="20"/>
        <v>23.111428571428572</v>
      </c>
      <c r="P222" s="391">
        <f t="shared" si="20"/>
        <v>21.388571428571428</v>
      </c>
    </row>
    <row r="223" spans="4:20" x14ac:dyDescent="0.25">
      <c r="E223" s="100"/>
      <c r="F223" s="100"/>
      <c r="J223" s="157" t="s">
        <v>146</v>
      </c>
      <c r="K223" s="391">
        <f>MEDIAN(K213:K219)</f>
        <v>8.8000000000000007</v>
      </c>
      <c r="L223" s="391">
        <f t="shared" ref="L223:P223" si="21">MEDIAN(L213:L219)</f>
        <v>7.58</v>
      </c>
      <c r="M223" s="391">
        <f t="shared" si="21"/>
        <v>7.45</v>
      </c>
      <c r="N223" s="391">
        <f t="shared" si="21"/>
        <v>25.9</v>
      </c>
      <c r="O223" s="391">
        <f t="shared" si="21"/>
        <v>22</v>
      </c>
      <c r="P223" s="391">
        <f t="shared" si="21"/>
        <v>20.149999999999999</v>
      </c>
    </row>
    <row r="224" spans="4:20" x14ac:dyDescent="0.25">
      <c r="D224" s="100"/>
      <c r="E224" s="100"/>
      <c r="F224" s="100"/>
      <c r="J224" s="157" t="s">
        <v>147</v>
      </c>
      <c r="K224" s="391">
        <f>MIN(K213:K219)</f>
        <v>4.2</v>
      </c>
      <c r="L224" s="391">
        <f t="shared" ref="L224:P224" si="22">MIN(L213:L219)</f>
        <v>4.0209999999999999</v>
      </c>
      <c r="M224" s="391">
        <f t="shared" si="22"/>
        <v>3.8</v>
      </c>
      <c r="N224" s="391">
        <f t="shared" si="22"/>
        <v>12.25</v>
      </c>
      <c r="O224" s="391">
        <f t="shared" si="22"/>
        <v>11.59</v>
      </c>
      <c r="P224" s="391">
        <f t="shared" si="22"/>
        <v>11.02</v>
      </c>
    </row>
    <row r="225" spans="1:21" x14ac:dyDescent="0.25">
      <c r="H225" s="146"/>
      <c r="I225" s="146"/>
      <c r="J225" s="146"/>
      <c r="K225" s="146"/>
    </row>
    <row r="226" spans="1:21" x14ac:dyDescent="0.25">
      <c r="D226" s="354" t="str">
        <f>D4&amp;" Implied Enterprise Value"</f>
        <v>NVIDIA Inc Implied Enterprise Value</v>
      </c>
      <c r="E226" s="354"/>
      <c r="F226" s="354"/>
      <c r="G226" s="354"/>
      <c r="H226" s="378"/>
      <c r="I226" s="379">
        <f>G204</f>
        <v>4161132</v>
      </c>
      <c r="J226" s="379">
        <f>G208</f>
        <v>4107039</v>
      </c>
      <c r="K226" s="379">
        <f>K222*J202</f>
        <v>2157529.1028571427</v>
      </c>
      <c r="L226" s="379">
        <f>L222*K202</f>
        <v>3237391.8532571434</v>
      </c>
      <c r="M226" s="379">
        <f>M222*L202</f>
        <v>4682029.4125714293</v>
      </c>
      <c r="N226" s="379">
        <f>N222*J203</f>
        <v>3318378.6428571437</v>
      </c>
      <c r="O226" s="379">
        <f>O222*K203</f>
        <v>5101571.8798081623</v>
      </c>
      <c r="P226" s="379">
        <f>P222*L203</f>
        <v>7104076.9132787967</v>
      </c>
    </row>
    <row r="227" spans="1:21" x14ac:dyDescent="0.25">
      <c r="H227" s="146"/>
      <c r="I227" s="146"/>
      <c r="J227" s="146"/>
      <c r="K227" s="146"/>
    </row>
    <row r="229" spans="1:21" ht="15" customHeight="1" x14ac:dyDescent="0.25">
      <c r="A229" s="1" t="s">
        <v>182</v>
      </c>
      <c r="D229" s="125"/>
    </row>
    <row r="230" spans="1:21" s="192" customFormat="1" ht="18" thickBot="1" x14ac:dyDescent="0.35">
      <c r="A230" s="192" t="s">
        <v>182</v>
      </c>
      <c r="B230" s="191" t="s">
        <v>58</v>
      </c>
      <c r="D230" s="195" t="s">
        <v>148</v>
      </c>
      <c r="E230" s="193"/>
      <c r="F230" s="193"/>
      <c r="G230" s="194"/>
    </row>
    <row r="231" spans="1:21" x14ac:dyDescent="0.25">
      <c r="D231" s="190"/>
      <c r="E231" s="2"/>
      <c r="F231" s="2"/>
      <c r="G231" s="3"/>
    </row>
    <row r="232" spans="1:21" ht="3.95" customHeight="1" x14ac:dyDescent="0.25"/>
    <row r="233" spans="1:21" ht="15.75" thickBot="1" x14ac:dyDescent="0.3">
      <c r="D233" s="301" t="s">
        <v>148</v>
      </c>
      <c r="E233" s="301"/>
      <c r="F233" s="301"/>
      <c r="G233" s="301"/>
      <c r="H233" s="366"/>
      <c r="I233" s="367" t="s">
        <v>2</v>
      </c>
      <c r="J233" s="368"/>
      <c r="K233" s="368"/>
      <c r="L233" s="386"/>
      <c r="M233" s="286" t="s">
        <v>3</v>
      </c>
      <c r="N233" s="286"/>
      <c r="O233" s="286"/>
      <c r="P233" s="286"/>
      <c r="Q233" s="286"/>
    </row>
    <row r="234" spans="1:21" x14ac:dyDescent="0.25">
      <c r="D234" s="125"/>
      <c r="G234" s="7"/>
      <c r="H234" s="8" t="s">
        <v>6</v>
      </c>
      <c r="I234" s="369">
        <f>$I$10</f>
        <v>2023</v>
      </c>
      <c r="J234" s="370">
        <f>$J$10</f>
        <v>2024</v>
      </c>
      <c r="K234" s="370">
        <f>$K$10</f>
        <v>2025</v>
      </c>
      <c r="L234" s="387">
        <f>$L$10</f>
        <v>2026</v>
      </c>
      <c r="M234" s="287">
        <f>$M$10</f>
        <v>2027</v>
      </c>
      <c r="N234" s="287">
        <f>$N$10</f>
        <v>2028</v>
      </c>
      <c r="O234" s="287">
        <f>$O$10</f>
        <v>2029</v>
      </c>
      <c r="P234" s="287">
        <f>$P$10</f>
        <v>2030</v>
      </c>
      <c r="Q234" s="287">
        <f>$Q$10</f>
        <v>2031</v>
      </c>
      <c r="T234" s="415" t="s">
        <v>180</v>
      </c>
      <c r="U234" s="417"/>
    </row>
    <row r="235" spans="1:21" x14ac:dyDescent="0.25">
      <c r="D235" s="125"/>
      <c r="H235" s="9"/>
      <c r="L235" s="158"/>
      <c r="T235" s="418"/>
      <c r="U235" s="420"/>
    </row>
    <row r="236" spans="1:21" ht="14.1" customHeight="1" x14ac:dyDescent="0.25">
      <c r="D236" s="125" t="s">
        <v>149</v>
      </c>
      <c r="E236" s="125"/>
      <c r="F236" s="118"/>
      <c r="L236" s="158"/>
      <c r="T236" s="418"/>
      <c r="U236" s="420"/>
    </row>
    <row r="237" spans="1:21" ht="14.1" customHeight="1" x14ac:dyDescent="0.25">
      <c r="D237" s="12" t="s">
        <v>150</v>
      </c>
      <c r="H237" s="159" t="s">
        <v>22</v>
      </c>
      <c r="I237" s="160"/>
      <c r="J237" s="160">
        <f>J14 / J$12</f>
        <v>0.72717573290436954</v>
      </c>
      <c r="K237" s="160">
        <f>K14 / K$12</f>
        <v>0.74988697058169917</v>
      </c>
      <c r="L237" s="161">
        <f>L14 / L$12</f>
        <v>0.71068084357547079</v>
      </c>
      <c r="M237" s="384">
        <f>M14 / M$12</f>
        <v>0.7599999999999999</v>
      </c>
      <c r="N237" s="381">
        <f t="shared" ref="N237:Q237" si="23">N14 / N$12</f>
        <v>0.76200000000000001</v>
      </c>
      <c r="O237" s="381">
        <f t="shared" si="23"/>
        <v>0.76400000000000001</v>
      </c>
      <c r="P237" s="381">
        <f t="shared" si="23"/>
        <v>0.76600000000000013</v>
      </c>
      <c r="Q237" s="381">
        <f t="shared" si="23"/>
        <v>0.76800000000000002</v>
      </c>
      <c r="T237" s="418"/>
      <c r="U237" s="420"/>
    </row>
    <row r="238" spans="1:21" ht="14.1" customHeight="1" x14ac:dyDescent="0.25">
      <c r="D238" s="12" t="s">
        <v>151</v>
      </c>
      <c r="H238" s="159" t="s">
        <v>22</v>
      </c>
      <c r="I238" s="160"/>
      <c r="J238" s="160">
        <f>J30 / J$12</f>
        <v>0.56596960047273559</v>
      </c>
      <c r="K238" s="160">
        <f>K30 / K$12</f>
        <v>0.63845912166563212</v>
      </c>
      <c r="L238" s="161">
        <f>L30 / L$12</f>
        <v>0.61698265242801176</v>
      </c>
      <c r="M238" s="384">
        <f>M30 / M$12</f>
        <v>0.63889304695400118</v>
      </c>
      <c r="N238" s="381">
        <f t="shared" ref="N238:Q238" si="24">N30 / N$12</f>
        <v>0.6408930469540014</v>
      </c>
      <c r="O238" s="381">
        <f t="shared" si="24"/>
        <v>0.64289304695400118</v>
      </c>
      <c r="P238" s="381">
        <f t="shared" si="24"/>
        <v>0.64489304695400129</v>
      </c>
      <c r="Q238" s="381">
        <f t="shared" si="24"/>
        <v>0.64689304695400118</v>
      </c>
      <c r="T238" s="418"/>
      <c r="U238" s="420"/>
    </row>
    <row r="239" spans="1:21" ht="14.1" customHeight="1" x14ac:dyDescent="0.25">
      <c r="D239" s="12" t="s">
        <v>152</v>
      </c>
      <c r="H239" s="159" t="s">
        <v>22</v>
      </c>
      <c r="I239" s="160"/>
      <c r="J239" s="160">
        <f>J19 / J$12</f>
        <v>0.54121663766783756</v>
      </c>
      <c r="K239" s="160">
        <f>K19 / K$12</f>
        <v>0.62417526839697468</v>
      </c>
      <c r="L239" s="161">
        <f>L19 / L$12</f>
        <v>0.60381683631412719</v>
      </c>
      <c r="M239" s="384">
        <f>M19 / M$12</f>
        <v>0.62572723084011661</v>
      </c>
      <c r="N239" s="381">
        <f t="shared" ref="N239:Q239" si="25">N19 / N$12</f>
        <v>0.62772723084011683</v>
      </c>
      <c r="O239" s="381">
        <f t="shared" si="25"/>
        <v>0.62972723084011673</v>
      </c>
      <c r="P239" s="381">
        <f t="shared" si="25"/>
        <v>0.63172723084011673</v>
      </c>
      <c r="Q239" s="381">
        <f t="shared" si="25"/>
        <v>0.63372723084011662</v>
      </c>
      <c r="T239" s="418"/>
      <c r="U239" s="420"/>
    </row>
    <row r="240" spans="1:21" ht="5.45" customHeight="1" x14ac:dyDescent="0.25">
      <c r="D240" s="12"/>
      <c r="H240" s="159"/>
      <c r="I240" s="160"/>
      <c r="J240" s="160"/>
      <c r="K240" s="160"/>
      <c r="L240" s="161"/>
      <c r="M240" s="171"/>
      <c r="N240" s="171"/>
      <c r="O240" s="171"/>
      <c r="P240" s="171"/>
      <c r="Q240" s="171"/>
      <c r="T240" s="418"/>
      <c r="U240" s="420"/>
    </row>
    <row r="241" spans="4:21" ht="14.1" customHeight="1" thickBot="1" x14ac:dyDescent="0.3">
      <c r="D241" s="17" t="s">
        <v>153</v>
      </c>
      <c r="H241" s="159"/>
      <c r="L241" s="158"/>
      <c r="T241" s="421"/>
      <c r="U241" s="423"/>
    </row>
    <row r="242" spans="4:21" ht="14.1" customHeight="1" x14ac:dyDescent="0.25">
      <c r="D242" s="12" t="s">
        <v>154</v>
      </c>
      <c r="H242" s="159" t="s">
        <v>18</v>
      </c>
      <c r="I242" s="132"/>
      <c r="J242" s="132">
        <f t="shared" ref="J242:L242" si="26">J57 / J67</f>
        <v>4.1712915059730973</v>
      </c>
      <c r="K242" s="132">
        <f t="shared" si="26"/>
        <v>4.4398514988640772</v>
      </c>
      <c r="L242" s="162">
        <f t="shared" si="26"/>
        <v>3.9052638124553058</v>
      </c>
      <c r="M242" s="385">
        <f>M57 / M67</f>
        <v>11.171361637618451</v>
      </c>
      <c r="N242" s="382">
        <f t="shared" ref="N242:Q242" si="27">N57 / N67</f>
        <v>10.467878203645963</v>
      </c>
      <c r="O242" s="382">
        <f t="shared" si="27"/>
        <v>10.792162124562601</v>
      </c>
      <c r="P242" s="382">
        <f t="shared" si="27"/>
        <v>10.599638534906415</v>
      </c>
      <c r="Q242" s="382">
        <f t="shared" si="27"/>
        <v>10.647034134677833</v>
      </c>
    </row>
    <row r="243" spans="4:21" ht="14.1" customHeight="1" x14ac:dyDescent="0.25">
      <c r="D243" s="12" t="s">
        <v>155</v>
      </c>
      <c r="H243" s="159" t="s">
        <v>18</v>
      </c>
      <c r="I243" s="132"/>
      <c r="J243" s="132">
        <f t="shared" ref="J243:Q243" si="28">(J52+J54+J53) / J67</f>
        <v>3.3847239206095381</v>
      </c>
      <c r="K243" s="132">
        <f t="shared" si="28"/>
        <v>3.672355516152269</v>
      </c>
      <c r="L243" s="162">
        <f t="shared" si="28"/>
        <v>3.1409383453036099</v>
      </c>
      <c r="M243" s="385">
        <f t="shared" si="28"/>
        <v>10.068224224753711</v>
      </c>
      <c r="N243" s="382">
        <f t="shared" si="28"/>
        <v>9.3667091050076507</v>
      </c>
      <c r="O243" s="382">
        <f t="shared" si="28"/>
        <v>9.6929770777077522</v>
      </c>
      <c r="P243" s="382">
        <f t="shared" si="28"/>
        <v>9.5024534668928951</v>
      </c>
      <c r="Q243" s="382">
        <f t="shared" si="28"/>
        <v>9.5518651651190645</v>
      </c>
    </row>
    <row r="244" spans="4:21" ht="5.45" customHeight="1" x14ac:dyDescent="0.25">
      <c r="D244" s="12"/>
      <c r="H244" s="159"/>
      <c r="I244" s="132"/>
      <c r="J244" s="132"/>
      <c r="K244" s="132"/>
      <c r="L244" s="162"/>
      <c r="M244" s="132"/>
      <c r="N244" s="132"/>
      <c r="O244" s="132"/>
      <c r="P244" s="132"/>
      <c r="Q244" s="132"/>
    </row>
    <row r="245" spans="4:21" ht="14.1" customHeight="1" x14ac:dyDescent="0.25">
      <c r="D245" s="17" t="s">
        <v>156</v>
      </c>
      <c r="L245" s="158"/>
    </row>
    <row r="246" spans="4:21" ht="14.1" customHeight="1" x14ac:dyDescent="0.25">
      <c r="D246" s="12" t="s">
        <v>157</v>
      </c>
      <c r="H246" s="159" t="s">
        <v>109</v>
      </c>
      <c r="I246" s="383"/>
      <c r="J246" s="163">
        <f t="shared" ref="J246:L246" si="29">AVERAGE(I54:J54) / J12 * 365</f>
        <v>41.4176323823906</v>
      </c>
      <c r="K246" s="163">
        <f t="shared" si="29"/>
        <v>46.239990191345399</v>
      </c>
      <c r="L246" s="388">
        <f t="shared" si="29"/>
        <v>52.002924450536725</v>
      </c>
      <c r="M246" s="385">
        <f>AVERAGE(L54:M54) / M12 * 365</f>
        <v>39.811847034797019</v>
      </c>
      <c r="N246" s="382">
        <f t="shared" ref="N246:Q246" si="30">AVERAGE(M54:N54) / N12 * 365</f>
        <v>32.488974458718083</v>
      </c>
      <c r="O246" s="382">
        <f t="shared" si="30"/>
        <v>33.417230871824316</v>
      </c>
      <c r="P246" s="382">
        <f t="shared" si="30"/>
        <v>34.488295963869973</v>
      </c>
      <c r="Q246" s="382">
        <f t="shared" si="30"/>
        <v>35.737871904589895</v>
      </c>
    </row>
    <row r="247" spans="4:21" ht="14.1" customHeight="1" x14ac:dyDescent="0.25">
      <c r="D247" s="12" t="s">
        <v>158</v>
      </c>
      <c r="H247" s="159" t="s">
        <v>109</v>
      </c>
      <c r="I247" s="383"/>
      <c r="J247" s="163">
        <f t="shared" ref="J247:L247" si="31">AVERAGE(I64:J64) / J13 * 365</f>
        <v>42.734492509475963</v>
      </c>
      <c r="K247" s="163">
        <f t="shared" si="31"/>
        <v>50.373556175127916</v>
      </c>
      <c r="L247" s="388">
        <f t="shared" si="31"/>
        <v>47.095078031212481</v>
      </c>
      <c r="M247" s="385">
        <f>AVERAGE(L64:M64) / M13 * 365</f>
        <v>40.027916175546892</v>
      </c>
      <c r="N247" s="382">
        <f t="shared" ref="N247:Q247" si="32">AVERAGE(M64:N64) / N13 * 365</f>
        <v>30.824218763135498</v>
      </c>
      <c r="O247" s="382">
        <f t="shared" si="32"/>
        <v>31.710273940084509</v>
      </c>
      <c r="P247" s="382">
        <f t="shared" si="32"/>
        <v>32.732662558777619</v>
      </c>
      <c r="Q247" s="382">
        <f t="shared" si="32"/>
        <v>33.92546846324737</v>
      </c>
    </row>
    <row r="248" spans="4:21" ht="5.45" customHeight="1" x14ac:dyDescent="0.25">
      <c r="D248" s="12"/>
      <c r="L248" s="158"/>
    </row>
    <row r="249" spans="4:21" ht="14.1" customHeight="1" x14ac:dyDescent="0.25">
      <c r="D249" s="17" t="s">
        <v>159</v>
      </c>
      <c r="L249" s="158"/>
    </row>
    <row r="250" spans="4:21" ht="14.1" customHeight="1" x14ac:dyDescent="0.25">
      <c r="D250" s="12" t="s">
        <v>160</v>
      </c>
      <c r="H250" s="159" t="s">
        <v>22</v>
      </c>
      <c r="I250" s="108"/>
      <c r="J250" s="160">
        <f t="shared" ref="J250:L250" si="33">(J69+J65) / J73</f>
        <v>0.22590627763041557</v>
      </c>
      <c r="K250" s="160">
        <f t="shared" si="33"/>
        <v>0.10668498745698186</v>
      </c>
      <c r="L250" s="161">
        <f t="shared" si="33"/>
        <v>5.3835835033981171E-2</v>
      </c>
      <c r="M250" s="384">
        <f>(M69+M65) / M73</f>
        <v>3.5878872921759848E-2</v>
      </c>
      <c r="N250" s="381">
        <f t="shared" ref="N250:Q250" si="34">(N69+N65) / N73</f>
        <v>2.1484631650292185E-2</v>
      </c>
      <c r="O250" s="381">
        <f t="shared" si="34"/>
        <v>1.1891806558675375E-2</v>
      </c>
      <c r="P250" s="381">
        <f t="shared" si="34"/>
        <v>6.8715890393921796E-3</v>
      </c>
      <c r="Q250" s="381">
        <f t="shared" si="34"/>
        <v>3.636982129615995E-3</v>
      </c>
    </row>
    <row r="251" spans="4:21" ht="14.1" customHeight="1" x14ac:dyDescent="0.25">
      <c r="D251" s="12" t="s">
        <v>161</v>
      </c>
      <c r="H251" s="159" t="s">
        <v>22</v>
      </c>
      <c r="I251" s="108"/>
      <c r="J251" s="160">
        <f t="shared" ref="J251:L251" si="35">(J69+J65) / (J69+J65+ J73)</f>
        <v>0.1842769563649477</v>
      </c>
      <c r="K251" s="160">
        <f t="shared" si="35"/>
        <v>9.6400501196035993E-2</v>
      </c>
      <c r="L251" s="161">
        <f t="shared" si="35"/>
        <v>5.1085599145758047E-2</v>
      </c>
      <c r="M251" s="384">
        <f>(M69+M65) / (M69+M65+ M73)</f>
        <v>3.4636166312149302E-2</v>
      </c>
      <c r="N251" s="381">
        <f t="shared" ref="N251:Q251" si="36">(N69+N65) / (N69+N65+ N73)</f>
        <v>2.1032750747881541E-2</v>
      </c>
      <c r="O251" s="381">
        <f t="shared" si="36"/>
        <v>1.1752053412822865E-2</v>
      </c>
      <c r="P251" s="381">
        <f t="shared" si="36"/>
        <v>6.8246925568215032E-3</v>
      </c>
      <c r="Q251" s="381">
        <f t="shared" si="36"/>
        <v>3.6238024249551741E-3</v>
      </c>
    </row>
    <row r="252" spans="4:21" ht="14.1" customHeight="1" x14ac:dyDescent="0.25">
      <c r="D252" s="12" t="s">
        <v>162</v>
      </c>
      <c r="H252" s="159" t="s">
        <v>18</v>
      </c>
      <c r="I252" s="132"/>
      <c r="J252" s="274">
        <f t="shared" ref="J252:L252" si="37">(J69+J65)/J30</f>
        <v>0.28158352668213454</v>
      </c>
      <c r="K252" s="274">
        <f t="shared" si="37"/>
        <v>0.10157590887814011</v>
      </c>
      <c r="L252" s="389">
        <f t="shared" si="37"/>
        <v>6.3559258425279597E-2</v>
      </c>
      <c r="M252" s="385">
        <f>(M69+M65)/M30</f>
        <v>3.267673929000544E-2</v>
      </c>
      <c r="N252" s="382">
        <f t="shared" ref="N252:Q252" si="38">(N69+N65)/N30</f>
        <v>1.7953078631535668E-2</v>
      </c>
      <c r="O252" s="382">
        <f t="shared" si="38"/>
        <v>1.0103930701727493E-2</v>
      </c>
      <c r="P252" s="382">
        <f t="shared" si="38"/>
        <v>5.6931561107958608E-3</v>
      </c>
      <c r="Q252" s="382">
        <f t="shared" si="38"/>
        <v>3.0224281140421409E-3</v>
      </c>
    </row>
    <row r="253" spans="4:21" ht="5.0999999999999996" customHeight="1" x14ac:dyDescent="0.25">
      <c r="L253" s="158"/>
    </row>
    <row r="254" spans="4:21" ht="14.1" customHeight="1" x14ac:dyDescent="0.25">
      <c r="D254" s="17" t="s">
        <v>163</v>
      </c>
      <c r="L254" s="158"/>
    </row>
    <row r="255" spans="4:21" ht="14.1" customHeight="1" x14ac:dyDescent="0.25">
      <c r="D255" s="12" t="s">
        <v>164</v>
      </c>
      <c r="H255" s="159" t="s">
        <v>18</v>
      </c>
      <c r="I255" s="233"/>
      <c r="J255" s="132">
        <f t="shared" ref="J255:L255" si="39">J30 / - J23</f>
        <v>134.16342412451363</v>
      </c>
      <c r="K255" s="132">
        <f t="shared" si="39"/>
        <v>337.31578947368422</v>
      </c>
      <c r="L255" s="162">
        <f t="shared" si="39"/>
        <v>514.40154440154436</v>
      </c>
      <c r="M255" s="385">
        <f>M30 / - M23</f>
        <v>1037.4867826405502</v>
      </c>
      <c r="N255" s="382">
        <f t="shared" ref="N255:Q255" si="40">N30 / - N23</f>
        <v>1888.3493917094222</v>
      </c>
      <c r="O255" s="382">
        <f t="shared" si="40"/>
        <v>3355.2966774975557</v>
      </c>
      <c r="P255" s="382">
        <f t="shared" si="40"/>
        <v>5954.8138946839099</v>
      </c>
      <c r="Q255" s="382">
        <f t="shared" si="40"/>
        <v>11216.70518999782</v>
      </c>
    </row>
    <row r="256" spans="4:21" ht="14.1" customHeight="1" x14ac:dyDescent="0.25">
      <c r="D256" s="12" t="s">
        <v>165</v>
      </c>
      <c r="H256" s="159" t="s">
        <v>18</v>
      </c>
      <c r="I256" s="233"/>
      <c r="J256" s="132">
        <f t="shared" ref="J256:L256" si="41">(J30 - J83) / - J23</f>
        <v>130.00389105058366</v>
      </c>
      <c r="K256" s="132">
        <f t="shared" si="41"/>
        <v>324.21457489878543</v>
      </c>
      <c r="L256" s="162">
        <f t="shared" si="41"/>
        <v>491.07335907335909</v>
      </c>
      <c r="M256" s="385">
        <f>(M30 - M83) / - M23</f>
        <v>981.34954967244403</v>
      </c>
      <c r="N256" s="382">
        <f t="shared" ref="N256:Q256" si="42">(N30 - N83) / - N23</f>
        <v>1786.4918045723393</v>
      </c>
      <c r="O256" s="382">
        <f t="shared" si="42"/>
        <v>3174.8749696813466</v>
      </c>
      <c r="P256" s="382">
        <f t="shared" si="42"/>
        <v>5635.603452402901</v>
      </c>
      <c r="Q256" s="382">
        <f t="shared" si="42"/>
        <v>10617.287696123911</v>
      </c>
    </row>
    <row r="259" spans="1:12" s="192" customFormat="1" ht="18" thickBot="1" x14ac:dyDescent="0.35">
      <c r="A259" s="192" t="s">
        <v>182</v>
      </c>
      <c r="B259" s="191" t="s">
        <v>81</v>
      </c>
      <c r="D259" s="195" t="s">
        <v>229</v>
      </c>
      <c r="E259" s="193"/>
      <c r="F259" s="193"/>
      <c r="G259" s="194"/>
    </row>
    <row r="261" spans="1:12" ht="30" x14ac:dyDescent="0.25">
      <c r="D261" s="371" t="s">
        <v>166</v>
      </c>
      <c r="E261" s="372"/>
      <c r="F261" s="372"/>
      <c r="G261" s="372"/>
      <c r="H261" s="372"/>
      <c r="I261" s="372" t="s">
        <v>129</v>
      </c>
      <c r="J261" s="372" t="s">
        <v>167</v>
      </c>
      <c r="K261" s="372" t="s">
        <v>183</v>
      </c>
      <c r="L261" s="373" t="s">
        <v>184</v>
      </c>
    </row>
    <row r="262" spans="1:12" x14ac:dyDescent="0.25">
      <c r="D262" s="166" t="str">
        <f>D4&amp;" Enterprise Value July 2024"</f>
        <v>NVIDIA Inc Enterprise Value July 2024</v>
      </c>
      <c r="H262" s="146"/>
      <c r="I262" s="214">
        <f>G208</f>
        <v>4107039</v>
      </c>
      <c r="J262" s="229">
        <f>G208/G203</f>
        <v>169.01395061728394</v>
      </c>
      <c r="K262" s="215">
        <v>0.25</v>
      </c>
      <c r="L262" s="216">
        <f>K262*J262</f>
        <v>42.253487654320985</v>
      </c>
    </row>
    <row r="263" spans="1:12" x14ac:dyDescent="0.25">
      <c r="D263" s="166" t="str">
        <f>D4&amp;" DCF valuation July 2022"</f>
        <v>NVIDIA Inc DCF valuation July 2022</v>
      </c>
      <c r="H263" s="146"/>
      <c r="I263" s="214">
        <f>F183</f>
        <v>5336025.2459076149</v>
      </c>
      <c r="J263" s="230">
        <f>F189</f>
        <v>221.81556567521048</v>
      </c>
      <c r="K263" s="215">
        <v>0.25</v>
      </c>
      <c r="L263" s="216">
        <f t="shared" ref="L263:L265" si="43">K263*J263</f>
        <v>55.45389141880262</v>
      </c>
    </row>
    <row r="264" spans="1:12" x14ac:dyDescent="0.25">
      <c r="D264" s="166" t="str">
        <f>D4&amp;" FY1 EV/Revenue - Trading Comps"</f>
        <v>NVIDIA Inc FY1 EV/Revenue - Trading Comps</v>
      </c>
      <c r="H264" s="146"/>
      <c r="I264" s="217">
        <f>L226</f>
        <v>3237391.8532571434</v>
      </c>
      <c r="J264" s="231">
        <f>(I264-G205+G206+G207)/G203</f>
        <v>135.45205157436803</v>
      </c>
      <c r="K264" s="215">
        <v>0.25</v>
      </c>
      <c r="L264" s="216">
        <f t="shared" si="43"/>
        <v>33.863012893592007</v>
      </c>
    </row>
    <row r="265" spans="1:12" x14ac:dyDescent="0.25">
      <c r="D265" s="167" t="str">
        <f>D4&amp;" FY1 EV/EBITDA - Trading Comps"</f>
        <v>NVIDIA Inc FY1 EV/EBITDA - Trading Comps</v>
      </c>
      <c r="E265" s="168"/>
      <c r="F265" s="168"/>
      <c r="G265" s="168"/>
      <c r="H265" s="169"/>
      <c r="I265" s="170">
        <f>O226</f>
        <v>5101571.8798081623</v>
      </c>
      <c r="J265" s="232">
        <f>(I265-G205+G206+G207)/G203</f>
        <v>212.16727900445113</v>
      </c>
      <c r="K265" s="218">
        <v>0.25</v>
      </c>
      <c r="L265" s="219">
        <f t="shared" si="43"/>
        <v>53.041819751112783</v>
      </c>
    </row>
    <row r="266" spans="1:12" x14ac:dyDescent="0.25">
      <c r="H266" s="146"/>
      <c r="I266" s="146"/>
      <c r="J266" s="270" t="s">
        <v>185</v>
      </c>
      <c r="K266" s="271"/>
      <c r="L266" s="265">
        <f>SUM(L262:L265)</f>
        <v>184.61221171782842</v>
      </c>
    </row>
    <row r="267" spans="1:12" x14ac:dyDescent="0.25">
      <c r="J267" s="266"/>
      <c r="K267" s="267" t="s">
        <v>228</v>
      </c>
      <c r="L267" s="268">
        <f>G202</f>
        <v>171.24</v>
      </c>
    </row>
    <row r="268" spans="1:12" ht="15.75" thickBot="1" x14ac:dyDescent="0.3">
      <c r="D268" s="17" t="s">
        <v>229</v>
      </c>
      <c r="F268" s="272" t="s">
        <v>196</v>
      </c>
      <c r="J268" s="266"/>
      <c r="K268" s="267" t="s">
        <v>227</v>
      </c>
      <c r="L268" s="269">
        <f>L266/L267-1</f>
        <v>7.8090467868654478E-2</v>
      </c>
    </row>
    <row r="269" spans="1:12" ht="15.75" thickBot="1" x14ac:dyDescent="0.3">
      <c r="D269" s="390" t="s">
        <v>181</v>
      </c>
      <c r="F269" s="272" t="s">
        <v>197</v>
      </c>
    </row>
    <row r="270" spans="1:12" x14ac:dyDescent="0.25">
      <c r="F270" s="1" t="s">
        <v>181</v>
      </c>
    </row>
    <row r="271" spans="1:12" ht="15.75" thickBot="1" x14ac:dyDescent="0.3">
      <c r="D271" s="17" t="s">
        <v>195</v>
      </c>
    </row>
    <row r="272" spans="1:12" ht="49.5" customHeight="1" x14ac:dyDescent="0.25">
      <c r="D272" s="443"/>
      <c r="E272" s="444"/>
      <c r="F272" s="444"/>
      <c r="G272" s="444"/>
      <c r="H272" s="445"/>
    </row>
    <row r="273" spans="4:8" ht="49.5" customHeight="1" thickBot="1" x14ac:dyDescent="0.3">
      <c r="D273" s="446"/>
      <c r="E273" s="447"/>
      <c r="F273" s="447"/>
      <c r="G273" s="447"/>
      <c r="H273" s="448"/>
    </row>
    <row r="275" spans="4:8" ht="15.75" thickBot="1" x14ac:dyDescent="0.3">
      <c r="D275" s="17" t="s">
        <v>230</v>
      </c>
    </row>
    <row r="276" spans="4:8" ht="48" customHeight="1" x14ac:dyDescent="0.25">
      <c r="D276" s="443"/>
      <c r="E276" s="444"/>
      <c r="F276" s="444"/>
      <c r="G276" s="444"/>
      <c r="H276" s="445"/>
    </row>
    <row r="277" spans="4:8" ht="48" customHeight="1" thickBot="1" x14ac:dyDescent="0.3">
      <c r="D277" s="446"/>
      <c r="E277" s="447"/>
      <c r="F277" s="447"/>
      <c r="G277" s="447"/>
      <c r="H277" s="448"/>
    </row>
    <row r="962" spans="648:648" ht="15.75" x14ac:dyDescent="0.25">
      <c r="XX962" s="210">
        <v>64765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2">
    <mergeCell ref="D276:H277"/>
    <mergeCell ref="U3:AF5"/>
    <mergeCell ref="I9:L9"/>
    <mergeCell ref="I49:L49"/>
    <mergeCell ref="I94:L94"/>
    <mergeCell ref="U141:Z148"/>
    <mergeCell ref="U163:Z170"/>
    <mergeCell ref="H188:H192"/>
    <mergeCell ref="P200:Q207"/>
    <mergeCell ref="U200:Z207"/>
    <mergeCell ref="T234:U241"/>
    <mergeCell ref="D272:H273"/>
  </mergeCells>
  <dataValidations count="1">
    <dataValidation type="list" allowBlank="1" showInputMessage="1" showErrorMessage="1" sqref="D269" xr:uid="{C731EDC9-C031-43C3-9DEB-AB4D5DA7E820}">
      <formula1>$F$268:$F$270</formula1>
    </dataValidation>
  </dataValidations>
  <hyperlinks>
    <hyperlink ref="U150" r:id="rId1" display="https://youtu.be/WxoGiOQlQKk" xr:uid="{DFD07AFE-1893-4965-A180-1F39B9D97050}"/>
    <hyperlink ref="U171" r:id="rId2" display="https://youtu.be/nU_HilBSWT8" xr:uid="{DE8BA20B-E4C2-4A46-B319-EE43DD965BC1}"/>
    <hyperlink ref="U6" r:id="rId3" xr:uid="{9DB4E65D-83DA-499E-9066-CD03B1C14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NVIDIA Inc</vt:lpstr>
      <vt:lpstr>Grading</vt:lpstr>
      <vt:lpstr>CONDFORM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Barnett</dc:creator>
  <cp:lastModifiedBy>Tyler S</cp:lastModifiedBy>
  <dcterms:created xsi:type="dcterms:W3CDTF">2023-10-17T10:04:52Z</dcterms:created>
  <dcterms:modified xsi:type="dcterms:W3CDTF">2026-03-28T17:59:51Z</dcterms:modified>
</cp:coreProperties>
</file>